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605503.AD01\Documents\"/>
    </mc:Choice>
  </mc:AlternateContent>
  <bookViews>
    <workbookView xWindow="0" yWindow="0" windowWidth="28800" windowHeight="12180" tabRatio="736" firstSheet="5" activeTab="22"/>
  </bookViews>
  <sheets>
    <sheet name="OB技能" sheetId="90" r:id="rId1"/>
    <sheet name="降级公式" sheetId="89" r:id="rId2"/>
    <sheet name="幻兽技能" sheetId="31" r:id="rId3"/>
    <sheet name="技能统计" sheetId="85" r:id="rId4"/>
    <sheet name="幻兽玩具" sheetId="11" r:id="rId5"/>
    <sheet name="玩具统计" sheetId="13" r:id="rId6"/>
    <sheet name="特殊物品" sheetId="44" r:id="rId7"/>
    <sheet name="原石" sheetId="52" r:id="rId8"/>
    <sheet name="资料片" sheetId="49" r:id="rId9"/>
    <sheet name="基本技能" sheetId="61" r:id="rId10"/>
    <sheet name="进阶技能" sheetId="26" r:id="rId11"/>
    <sheet name="武器" sheetId="39" r:id="rId12"/>
    <sheet name="防具" sheetId="37" r:id="rId13"/>
    <sheet name="相关地点" sheetId="87" r:id="rId14"/>
    <sheet name="特殊属性" sheetId="46" r:id="rId15"/>
    <sheet name="武器加工" sheetId="43" r:id="rId16"/>
    <sheet name="武器精炼" sheetId="88" r:id="rId17"/>
    <sheet name="推车" sheetId="58" r:id="rId18"/>
    <sheet name="家族" sheetId="55" r:id="rId19"/>
    <sheet name="成长偏向" sheetId="53" r:id="rId20"/>
    <sheet name="幻兽序号" sheetId="74" r:id="rId21"/>
    <sheet name="游乐场" sheetId="81" r:id="rId22"/>
    <sheet name="出手顺序" sheetId="91" r:id="rId23"/>
  </sheets>
  <definedNames>
    <definedName name="_xlnm._FilterDatabase" localSheetId="3" hidden="1">技能统计!$A$2:$S$114</definedName>
    <definedName name="_xlnm._FilterDatabase" localSheetId="5" hidden="1">玩具统计!$A$2:$I$113</definedName>
  </definedNames>
  <calcPr calcId="152511"/>
</workbook>
</file>

<file path=xl/calcChain.xml><?xml version="1.0" encoding="utf-8"?>
<calcChain xmlns="http://schemas.openxmlformats.org/spreadsheetml/2006/main">
  <c r="F8" i="89" l="1"/>
  <c r="B9" i="89"/>
  <c r="F9" i="89"/>
  <c r="B10" i="89"/>
  <c r="F10" i="89"/>
  <c r="B11" i="89"/>
  <c r="C11" i="89"/>
  <c r="F11" i="89"/>
  <c r="B12" i="89"/>
  <c r="C12" i="89"/>
  <c r="F12" i="89"/>
  <c r="B13" i="89"/>
  <c r="C13" i="89"/>
  <c r="F13" i="89"/>
  <c r="B14" i="89"/>
  <c r="C14" i="89"/>
  <c r="F14" i="89"/>
  <c r="B15" i="89"/>
  <c r="C15" i="89"/>
  <c r="F15" i="89"/>
  <c r="B16" i="89"/>
  <c r="C16" i="89"/>
  <c r="F16" i="89"/>
  <c r="B17" i="89"/>
  <c r="C17" i="89"/>
  <c r="F17" i="89"/>
  <c r="B18" i="89"/>
  <c r="B19" i="89"/>
  <c r="H20" i="13"/>
  <c r="H39" i="13"/>
  <c r="H57" i="13"/>
  <c r="H76" i="13"/>
  <c r="H94" i="13"/>
  <c r="H113" i="13"/>
</calcChain>
</file>

<file path=xl/sharedStrings.xml><?xml version="1.0" encoding="utf-8"?>
<sst xmlns="http://schemas.openxmlformats.org/spreadsheetml/2006/main" count="12601" uniqueCount="4476">
  <si>
    <t>伊利村打铁铺史密斯</t>
  </si>
  <si>
    <t>10个铜矿石</t>
  </si>
  <si>
    <t>吉恩村裁缝店阿婆</t>
  </si>
  <si>
    <t>绿夫村裁缝店玛丁娜</t>
  </si>
  <si>
    <t>伊利村裁缝店安塔</t>
  </si>
  <si>
    <t>10捆羊毛</t>
  </si>
  <si>
    <t>技能名称</t>
    <phoneticPr fontId="2" type="noConversion"/>
  </si>
  <si>
    <t>学习地点</t>
    <phoneticPr fontId="2" type="noConversion"/>
  </si>
  <si>
    <t>学习材料</t>
    <phoneticPr fontId="2" type="noConversion"/>
  </si>
  <si>
    <t>工作地点</t>
    <phoneticPr fontId="2" type="noConversion"/>
  </si>
  <si>
    <t>工会位置</t>
    <phoneticPr fontId="2" type="noConversion"/>
  </si>
  <si>
    <t>青鸟城木材店 121，152</t>
    <phoneticPr fontId="2" type="noConversion"/>
  </si>
  <si>
    <t>趴趴迷宫B3</t>
  </si>
  <si>
    <t>蓝宝石原石</t>
  </si>
  <si>
    <t>花生麻薯</t>
  </si>
  <si>
    <t>土象</t>
  </si>
  <si>
    <t>蓝莓布丁</t>
  </si>
  <si>
    <t>白宝石原石</t>
  </si>
  <si>
    <t>点水蜻蜓</t>
  </si>
  <si>
    <t>黑曜石原石</t>
  </si>
  <si>
    <t>大理石</t>
  </si>
  <si>
    <t>正义司瓦诺</t>
  </si>
  <si>
    <t>钻石原石</t>
  </si>
  <si>
    <t>小马哥</t>
  </si>
  <si>
    <t>红玉髓原石</t>
  </si>
  <si>
    <t>浮木乌贼</t>
  </si>
  <si>
    <t>土星</t>
  </si>
  <si>
    <t>荧光蜻蜓</t>
  </si>
  <si>
    <t>蓝玉髓原石</t>
  </si>
  <si>
    <t>日光灯</t>
  </si>
  <si>
    <t>天白冬菇</t>
  </si>
  <si>
    <t>黄玉髓原石</t>
  </si>
  <si>
    <t>日光海马</t>
  </si>
  <si>
    <t>烧烤大可兽</t>
  </si>
  <si>
    <t>史盖窝克海B2</t>
  </si>
  <si>
    <t>青玉髓原石</t>
  </si>
  <si>
    <t>绿玉髓原石</t>
  </si>
  <si>
    <t>臭鼬</t>
  </si>
  <si>
    <t>神秘石原石</t>
  </si>
  <si>
    <t>漂白鳄鱼</t>
  </si>
  <si>
    <t>恶魔石原石</t>
  </si>
  <si>
    <t>天使石原石</t>
  </si>
  <si>
    <t>妖魔石原石</t>
  </si>
  <si>
    <t>元素结晶原石</t>
  </si>
  <si>
    <t>灵魂石原石</t>
  </si>
  <si>
    <t>幻兽技能一览</t>
    <phoneticPr fontId="2" type="noConversion"/>
  </si>
  <si>
    <t>技能格数</t>
    <phoneticPr fontId="2" type="noConversion"/>
  </si>
  <si>
    <t>成长方向</t>
    <phoneticPr fontId="2" type="noConversion"/>
  </si>
  <si>
    <t>强化</t>
    <phoneticPr fontId="2" type="noConversion"/>
  </si>
  <si>
    <t>恢复</t>
    <phoneticPr fontId="2" type="noConversion"/>
  </si>
  <si>
    <t>连击</t>
    <phoneticPr fontId="2" type="noConversion"/>
  </si>
  <si>
    <t>猪头</t>
    <phoneticPr fontId="2" type="noConversion"/>
  </si>
  <si>
    <t>装死</t>
    <phoneticPr fontId="2" type="noConversion"/>
  </si>
  <si>
    <t>赐福</t>
    <phoneticPr fontId="2" type="noConversion"/>
  </si>
  <si>
    <t>威胁</t>
    <phoneticPr fontId="2" type="noConversion"/>
  </si>
  <si>
    <t>转换</t>
    <phoneticPr fontId="2" type="noConversion"/>
  </si>
  <si>
    <t>吸血</t>
  </si>
  <si>
    <t>推车</t>
  </si>
  <si>
    <t>牺牲</t>
  </si>
  <si>
    <t>亡命</t>
    <phoneticPr fontId="2" type="noConversion"/>
  </si>
  <si>
    <t>魔法</t>
    <phoneticPr fontId="2" type="noConversion"/>
  </si>
  <si>
    <t>连击</t>
  </si>
  <si>
    <t>猪头</t>
  </si>
  <si>
    <t>赐福</t>
  </si>
  <si>
    <t>强化</t>
  </si>
  <si>
    <t>恢复</t>
  </si>
  <si>
    <t>装死</t>
  </si>
  <si>
    <t>威胁</t>
  </si>
  <si>
    <t>豹</t>
  </si>
  <si>
    <t>转换</t>
  </si>
  <si>
    <t>贝贝</t>
  </si>
  <si>
    <t>玻璃瓶</t>
  </si>
  <si>
    <t>稻草人</t>
  </si>
  <si>
    <t>灯笼鱼</t>
  </si>
  <si>
    <t>渡渡鸟</t>
  </si>
  <si>
    <t>飞猴</t>
  </si>
  <si>
    <t>飞马</t>
  </si>
  <si>
    <t>凤凰</t>
  </si>
  <si>
    <t>海星</t>
  </si>
  <si>
    <t>河豚</t>
  </si>
  <si>
    <t>激斗蛙</t>
  </si>
  <si>
    <t>寄居蟹</t>
  </si>
  <si>
    <t>鲸鱼</t>
  </si>
  <si>
    <t>骷髅</t>
  </si>
  <si>
    <t>狼人</t>
  </si>
  <si>
    <t>骆驼</t>
  </si>
  <si>
    <t>猫头鹰</t>
  </si>
  <si>
    <t>麋鹿</t>
  </si>
  <si>
    <t>魔女</t>
  </si>
  <si>
    <t>南瓜头</t>
  </si>
  <si>
    <t>女妖</t>
  </si>
  <si>
    <t>螃蟹</t>
  </si>
  <si>
    <t>企鹅</t>
  </si>
  <si>
    <t>三月兔</t>
  </si>
  <si>
    <t>体</t>
  </si>
  <si>
    <t>死神</t>
  </si>
  <si>
    <t>乌贼</t>
  </si>
  <si>
    <t>小野蜂</t>
  </si>
  <si>
    <t>雪怪</t>
  </si>
  <si>
    <t>羊</t>
  </si>
  <si>
    <t>幽灵</t>
  </si>
  <si>
    <t>章鱼</t>
  </si>
  <si>
    <t>蜘蛛</t>
  </si>
  <si>
    <t>幻兽玩具一览</t>
    <phoneticPr fontId="2" type="noConversion"/>
  </si>
  <si>
    <t>青蛙沼泽</t>
  </si>
  <si>
    <t>玫瑰湖</t>
  </si>
  <si>
    <t>猫迷宫</t>
  </si>
  <si>
    <t>秃秃岛空域</t>
  </si>
  <si>
    <t>天白冬菇卡片</t>
    <phoneticPr fontId="2" type="noConversion"/>
  </si>
  <si>
    <t>天白冬菇娃娃</t>
    <phoneticPr fontId="2" type="noConversion"/>
  </si>
  <si>
    <t>红龟卡片</t>
    <phoneticPr fontId="2" type="noConversion"/>
  </si>
  <si>
    <t>红龟娃娃</t>
    <phoneticPr fontId="2" type="noConversion"/>
  </si>
  <si>
    <t>木菊卡片</t>
    <phoneticPr fontId="2" type="noConversion"/>
  </si>
  <si>
    <t>木菊娃娃</t>
    <phoneticPr fontId="2" type="noConversion"/>
  </si>
  <si>
    <t>伊利村</t>
  </si>
  <si>
    <t>秘密古墓B2</t>
  </si>
  <si>
    <t>大盗巢穴B1</t>
  </si>
  <si>
    <t>沙皮岛中央</t>
  </si>
  <si>
    <t>竹子</t>
  </si>
  <si>
    <t>藤条</t>
  </si>
  <si>
    <t>白杨木</t>
  </si>
  <si>
    <t>柚木</t>
  </si>
  <si>
    <t>迦兰谷地</t>
  </si>
  <si>
    <t>红桧</t>
  </si>
  <si>
    <t>紫杉</t>
  </si>
  <si>
    <t>矮人山</t>
  </si>
  <si>
    <t>黑檀木</t>
  </si>
  <si>
    <t>白雪森林</t>
  </si>
  <si>
    <t>遗忘森林</t>
  </si>
  <si>
    <t>铁杉</t>
  </si>
  <si>
    <t>红豆杉</t>
  </si>
  <si>
    <t>凤梨山</t>
  </si>
  <si>
    <t>彩虹木</t>
  </si>
  <si>
    <t>晶石木</t>
  </si>
  <si>
    <t>天杉</t>
  </si>
  <si>
    <t>黑铁木</t>
  </si>
  <si>
    <t>极光杉</t>
  </si>
  <si>
    <t>幽魂杉</t>
  </si>
  <si>
    <t>绿夫村</t>
  </si>
  <si>
    <t>木偶山</t>
  </si>
  <si>
    <t>龙鳞</t>
  </si>
  <si>
    <t>龙涎</t>
  </si>
  <si>
    <t>龙须</t>
  </si>
  <si>
    <t>龙牙</t>
  </si>
  <si>
    <t>lv20+25</t>
  </si>
  <si>
    <t>lv15+25</t>
  </si>
  <si>
    <t>lv15+25</t>
    <phoneticPr fontId="2" type="noConversion"/>
  </si>
  <si>
    <t>lv30+30</t>
  </si>
  <si>
    <t>lv30+30</t>
    <phoneticPr fontId="2" type="noConversion"/>
  </si>
  <si>
    <t>遗跡地下10F</t>
  </si>
  <si>
    <t>秃秃岛空域</t>
    <phoneticPr fontId="2" type="noConversion"/>
  </si>
  <si>
    <t>秘密古墓B1</t>
    <phoneticPr fontId="2" type="noConversion"/>
  </si>
  <si>
    <t>卡拉斯空域</t>
    <phoneticPr fontId="2" type="noConversion"/>
  </si>
  <si>
    <t>吉恩村</t>
  </si>
  <si>
    <t>微笑森林</t>
  </si>
  <si>
    <t>青鸟城</t>
  </si>
  <si>
    <t>金银城外围</t>
  </si>
  <si>
    <t>卡拉斯山区</t>
  </si>
  <si>
    <t>甘泉村</t>
  </si>
  <si>
    <t>狂风沙漠</t>
  </si>
  <si>
    <t>卡拉斯山区右上角</t>
  </si>
  <si>
    <t>哈辛岛(45,89)</t>
  </si>
  <si>
    <t>玫瑰园</t>
  </si>
  <si>
    <t>煤</t>
  </si>
  <si>
    <t>青铜矿</t>
  </si>
  <si>
    <t>铜矿石</t>
  </si>
  <si>
    <t>金钢砂</t>
  </si>
  <si>
    <t>害怕峡谷</t>
  </si>
  <si>
    <t>铁矿石</t>
  </si>
  <si>
    <t>银矿石</t>
  </si>
  <si>
    <t>金沙</t>
  </si>
  <si>
    <t>白金矿石</t>
  </si>
  <si>
    <t>钛矿石</t>
  </si>
  <si>
    <t>钨矿石</t>
  </si>
  <si>
    <t>卡拉拉矿石</t>
  </si>
  <si>
    <t>罗比特草原入口附近</t>
  </si>
  <si>
    <t>米拉茲矿石</t>
  </si>
  <si>
    <t>诺亚矿石</t>
  </si>
  <si>
    <t>苏理米矿石</t>
  </si>
  <si>
    <t>翡翠城地下B2</t>
  </si>
  <si>
    <t>克艾隆矿石</t>
  </si>
  <si>
    <t>盖亚矿石</t>
  </si>
  <si>
    <t>飞鱼角</t>
  </si>
  <si>
    <t>碗豆湖</t>
  </si>
  <si>
    <t>风之谷</t>
  </si>
  <si>
    <t>莫名其妙花丛右上方</t>
  </si>
  <si>
    <t>扑克花园</t>
  </si>
  <si>
    <t>薄荷</t>
  </si>
  <si>
    <t>北绿野</t>
  </si>
  <si>
    <t>附贝子</t>
  </si>
  <si>
    <t>仙人掌</t>
  </si>
  <si>
    <t>金猴毛</t>
  </si>
  <si>
    <t>无根莲</t>
  </si>
  <si>
    <t>玫瑰湖湖边</t>
  </si>
  <si>
    <t>续断</t>
  </si>
  <si>
    <t>蜂蜜</t>
  </si>
  <si>
    <t>夜亭草</t>
  </si>
  <si>
    <t>蔓陀萝根</t>
  </si>
  <si>
    <t>武器制作</t>
    <phoneticPr fontId="2" type="noConversion"/>
  </si>
  <si>
    <t>防具制作</t>
    <phoneticPr fontId="2" type="noConversion"/>
  </si>
  <si>
    <t>该地点出没幻兽</t>
    <phoneticPr fontId="2" type="noConversion"/>
  </si>
  <si>
    <t>糖果屋</t>
    <phoneticPr fontId="2" type="noConversion"/>
  </si>
  <si>
    <t>糖果屋</t>
    <phoneticPr fontId="2" type="noConversion"/>
  </si>
  <si>
    <t>秘密平原</t>
  </si>
  <si>
    <t>鬼念珠</t>
  </si>
  <si>
    <t>白雪森林(83,113)</t>
  </si>
  <si>
    <t>露珠儿</t>
  </si>
  <si>
    <t>沉睡湖</t>
  </si>
  <si>
    <t>还魂草</t>
  </si>
  <si>
    <t>月葵</t>
  </si>
  <si>
    <t>天鹅湖最左上方附近</t>
  </si>
  <si>
    <t>碧幽果</t>
  </si>
  <si>
    <t>通天草</t>
  </si>
  <si>
    <t>猫草</t>
  </si>
  <si>
    <t>罗比特草原</t>
  </si>
  <si>
    <t>海铃兰</t>
  </si>
  <si>
    <t>玫瑰果</t>
  </si>
  <si>
    <t>迷迭香</t>
  </si>
  <si>
    <t>菩提叶</t>
  </si>
  <si>
    <t>马鞭草</t>
  </si>
  <si>
    <t>彩虹城近郊(322,338)</t>
  </si>
  <si>
    <t>绿夫村(8,183)</t>
  </si>
  <si>
    <t>彩虹城近郊(221,113)</t>
  </si>
  <si>
    <t>玫瑰湖左上田</t>
  </si>
  <si>
    <t>彩虹城近郊(134,169)</t>
  </si>
  <si>
    <t>西里亚高原(9,46)</t>
  </si>
  <si>
    <t>玫瑰湖右上田</t>
  </si>
  <si>
    <t>西里亚高原(10,45)</t>
  </si>
  <si>
    <t>西里亚高原(11,38)</t>
  </si>
  <si>
    <t>羊角村</t>
  </si>
  <si>
    <t>彩虹城近郊(36,616)</t>
  </si>
  <si>
    <t>苹果</t>
  </si>
  <si>
    <t>吉恩村(51.75)</t>
  </si>
  <si>
    <t>桃子</t>
  </si>
  <si>
    <t>吉恩村(50.76)</t>
  </si>
  <si>
    <t>羊毛</t>
  </si>
  <si>
    <t>吉恩村(30,95)</t>
  </si>
  <si>
    <t>稻米</t>
  </si>
  <si>
    <t>吉恩村(72,94)</t>
  </si>
  <si>
    <t>棉花</t>
  </si>
  <si>
    <t>南绿野东北田</t>
  </si>
  <si>
    <t>小麦</t>
  </si>
  <si>
    <t>南绿野西北田</t>
  </si>
  <si>
    <t>亚麻</t>
  </si>
  <si>
    <t>西绿野(24.223)</t>
  </si>
  <si>
    <t>高梁</t>
  </si>
  <si>
    <t>西绿野(55.344)</t>
  </si>
  <si>
    <t>竹笋</t>
  </si>
  <si>
    <t>羊绒</t>
  </si>
  <si>
    <t>南绿野西南草地</t>
  </si>
  <si>
    <t>葡萄</t>
  </si>
  <si>
    <t>萵苣村</t>
  </si>
  <si>
    <t>蚕茧</t>
  </si>
  <si>
    <t>鲜花</t>
  </si>
  <si>
    <t>西绿野</t>
  </si>
  <si>
    <t>百合</t>
  </si>
  <si>
    <t>紫菜</t>
  </si>
  <si>
    <t>松覃</t>
  </si>
  <si>
    <t>甘蔗</t>
  </si>
  <si>
    <t>咖啡豆</t>
  </si>
  <si>
    <t>茶叶</t>
  </si>
  <si>
    <t>挖矿</t>
    <phoneticPr fontId="2" type="noConversion"/>
  </si>
  <si>
    <t>青鸟城外</t>
  </si>
  <si>
    <t>西里亚高原</t>
  </si>
  <si>
    <t>鸡肉</t>
  </si>
  <si>
    <t>猪肉</t>
  </si>
  <si>
    <t>羌子肉</t>
  </si>
  <si>
    <t>彩虹城近郊</t>
  </si>
  <si>
    <t>鹿茸</t>
  </si>
  <si>
    <t>貂皮</t>
  </si>
  <si>
    <t>象牙</t>
  </si>
  <si>
    <t>犀牛皮</t>
  </si>
  <si>
    <t>犀牛角</t>
  </si>
  <si>
    <t>鳄鱼皮</t>
  </si>
  <si>
    <t>虎皮</t>
  </si>
  <si>
    <t>龙爪</t>
  </si>
  <si>
    <t>龙角</t>
  </si>
  <si>
    <t>龙骨</t>
  </si>
  <si>
    <t>巴斯拉港</t>
  </si>
  <si>
    <t>红帽村</t>
  </si>
  <si>
    <t>巴斯拉港最右下方</t>
  </si>
  <si>
    <t>冥界洞窟B1水池</t>
  </si>
  <si>
    <t>杂鱼</t>
  </si>
  <si>
    <t>鲤鱼</t>
  </si>
  <si>
    <t>草虾</t>
  </si>
  <si>
    <t>鲈鱼</t>
  </si>
  <si>
    <t>鳗鱼</t>
  </si>
  <si>
    <t>黄鱼</t>
  </si>
  <si>
    <t>鳖</t>
  </si>
  <si>
    <t>黄鳝</t>
  </si>
  <si>
    <t>海胆</t>
  </si>
  <si>
    <t>小海马</t>
  </si>
  <si>
    <t>电鳗</t>
  </si>
  <si>
    <t>龙虾</t>
  </si>
  <si>
    <t>鲔鱼</t>
  </si>
  <si>
    <t>钓鱼</t>
    <phoneticPr fontId="2" type="noConversion"/>
  </si>
  <si>
    <t>羊肉、羊皮</t>
    <phoneticPr fontId="2" type="noConversion"/>
  </si>
  <si>
    <t>醋</t>
  </si>
  <si>
    <t>米酒</t>
  </si>
  <si>
    <t>水果酒</t>
  </si>
  <si>
    <t>苹果露</t>
  </si>
  <si>
    <t>啤酒</t>
  </si>
  <si>
    <t>绍兴</t>
  </si>
  <si>
    <t>高粱酒</t>
  </si>
  <si>
    <t>高粱</t>
  </si>
  <si>
    <t>陈年绍兴</t>
  </si>
  <si>
    <t>葡萄酒</t>
  </si>
  <si>
    <t>红酒</t>
  </si>
  <si>
    <t>陈年高粱</t>
  </si>
  <si>
    <t>龙涎酒</t>
  </si>
  <si>
    <t>大补酒</t>
  </si>
  <si>
    <t>玫瑰酒</t>
  </si>
  <si>
    <t>料理药酒</t>
  </si>
  <si>
    <t>菩提药醋</t>
  </si>
  <si>
    <t>龙骨药酒</t>
  </si>
  <si>
    <t>姜茶</t>
  </si>
  <si>
    <t>老姜</t>
  </si>
  <si>
    <t>薄荷膏</t>
  </si>
  <si>
    <t>小恢复剂</t>
  </si>
  <si>
    <t>黄蔓葵</t>
  </si>
  <si>
    <t>生姜</t>
  </si>
  <si>
    <t>定神剂</t>
  </si>
  <si>
    <t>MP50</t>
  </si>
  <si>
    <t>大力丸</t>
  </si>
  <si>
    <t>加速剂</t>
  </si>
  <si>
    <t>活血剂</t>
  </si>
  <si>
    <t>半夏</t>
  </si>
  <si>
    <t>恢复剂</t>
  </si>
  <si>
    <t>提神剂</t>
  </si>
  <si>
    <t>强力恢复剂</t>
  </si>
  <si>
    <t>高梁酒</t>
  </si>
  <si>
    <t>强力提神剂</t>
  </si>
  <si>
    <t>蔓陀罗根</t>
  </si>
  <si>
    <t>太阳的微笑</t>
  </si>
  <si>
    <t>天使的祈祷</t>
  </si>
  <si>
    <t>夏日的凉风</t>
  </si>
  <si>
    <t>甜蜜香吻</t>
  </si>
  <si>
    <t>金毛鬼</t>
  </si>
  <si>
    <t>飘飘彩莲</t>
  </si>
  <si>
    <t>清晨的露珠</t>
  </si>
  <si>
    <t>金色的月亮</t>
  </si>
  <si>
    <t>酒酿三宝</t>
  </si>
  <si>
    <t>小蓝猫的祝福</t>
  </si>
  <si>
    <t>狂暴龙魂</t>
  </si>
  <si>
    <t>海潮清香</t>
  </si>
  <si>
    <t>致命玫瑰</t>
  </si>
  <si>
    <t>迷迭香茶</t>
  </si>
  <si>
    <t>菩提龙角散</t>
  </si>
  <si>
    <t>银色天堂</t>
  </si>
  <si>
    <t>HP30</t>
  </si>
  <si>
    <t>HP80</t>
  </si>
  <si>
    <t>暂时力量+4</t>
  </si>
  <si>
    <t>暂时敏捷+4</t>
  </si>
  <si>
    <t>炸鸡排</t>
  </si>
  <si>
    <t>鱼排</t>
  </si>
  <si>
    <t>烤羊排</t>
  </si>
  <si>
    <t>羊肉</t>
  </si>
  <si>
    <t>鲤鱼汤</t>
  </si>
  <si>
    <t>糖醋鲤鱼</t>
  </si>
  <si>
    <t>瘦肉粥</t>
  </si>
  <si>
    <t>牛肉汉堡</t>
  </si>
  <si>
    <t>牛肉</t>
  </si>
  <si>
    <t>铁板牛柳</t>
  </si>
  <si>
    <t>姜爆虾</t>
  </si>
  <si>
    <t>竹筒山珍</t>
  </si>
  <si>
    <t>鹿肉</t>
  </si>
  <si>
    <t>清蒸醉鲈</t>
  </si>
  <si>
    <t>杂粮面包</t>
  </si>
  <si>
    <t>鲜鲈烩饭</t>
  </si>
  <si>
    <t>鲈魚</t>
  </si>
  <si>
    <t>鳗鱼饭</t>
  </si>
  <si>
    <t>鳗魚</t>
  </si>
  <si>
    <t>笋炒肉</t>
  </si>
  <si>
    <t>黄鱼羹</t>
  </si>
  <si>
    <t>黃鱼</t>
  </si>
  <si>
    <t>炖鳖肉</t>
  </si>
  <si>
    <t>黯然销魂饭</t>
  </si>
  <si>
    <t>十全鳝汤</t>
  </si>
  <si>
    <t>百合牛肉锅</t>
  </si>
  <si>
    <t>海胆寿司</t>
  </si>
  <si>
    <t>什锦松茸饭</t>
  </si>
  <si>
    <t>松茸</t>
  </si>
  <si>
    <t>河豚火锅</t>
  </si>
  <si>
    <t>龙虾药膳</t>
  </si>
  <si>
    <t>松蕈</t>
  </si>
  <si>
    <t>鮪鱼寿司</t>
  </si>
  <si>
    <t>鮪鱼</t>
  </si>
  <si>
    <t>毛线</t>
  </si>
  <si>
    <t>毛料</t>
  </si>
  <si>
    <t>棉线</t>
  </si>
  <si>
    <t>棉布</t>
  </si>
  <si>
    <t>粗麻线</t>
  </si>
  <si>
    <t>粗麻布</t>
  </si>
  <si>
    <t>麻纱</t>
  </si>
  <si>
    <t>细麻布</t>
  </si>
  <si>
    <t>毛毯</t>
  </si>
  <si>
    <t>绒布</t>
  </si>
  <si>
    <t>蚕丝</t>
  </si>
  <si>
    <t>丝绸</t>
  </si>
  <si>
    <t>猫毯</t>
  </si>
  <si>
    <t>龙丝布</t>
  </si>
  <si>
    <t>玫瑰丝绸</t>
  </si>
  <si>
    <t>绿叶丝绸</t>
  </si>
  <si>
    <t>龙魂丝绸</t>
  </si>
  <si>
    <t>神银丝布</t>
  </si>
  <si>
    <t>苏理米金属</t>
  </si>
  <si>
    <t>青铜块</t>
  </si>
  <si>
    <t>铜块</t>
  </si>
  <si>
    <t>铁块</t>
  </si>
  <si>
    <t>银块</t>
  </si>
  <si>
    <t>金块</t>
  </si>
  <si>
    <t>K金</t>
  </si>
  <si>
    <t>钢块</t>
  </si>
  <si>
    <t>钢条</t>
  </si>
  <si>
    <t>合金钢</t>
  </si>
  <si>
    <t>白金块</t>
  </si>
  <si>
    <t>钛合金</t>
  </si>
  <si>
    <t>钨合金</t>
  </si>
  <si>
    <t>卡拉拉金属</t>
  </si>
  <si>
    <t>米拉茲金属</t>
  </si>
  <si>
    <t>米拉兹矿石</t>
  </si>
  <si>
    <t>诺亚金属</t>
  </si>
  <si>
    <t>金刚砂</t>
  </si>
  <si>
    <t>克艾隆金属</t>
  </si>
  <si>
    <t>盖亚金属</t>
  </si>
  <si>
    <t>水晶</t>
  </si>
  <si>
    <t>紫晶</t>
  </si>
  <si>
    <t>珊瑚</t>
  </si>
  <si>
    <t>珊瑚枝</t>
  </si>
  <si>
    <t>猫眼石</t>
  </si>
  <si>
    <t>祖母绿</t>
  </si>
  <si>
    <t>孔雀石</t>
  </si>
  <si>
    <t>琥珀</t>
  </si>
  <si>
    <t>天青石</t>
  </si>
  <si>
    <t>玛瑙</t>
  </si>
  <si>
    <t>黄宝石</t>
  </si>
  <si>
    <t>绿宝石</t>
  </si>
  <si>
    <t>红宝石</t>
  </si>
  <si>
    <t>蓝宝石</t>
  </si>
  <si>
    <t>白宝石</t>
  </si>
  <si>
    <t>黑曜石</t>
  </si>
  <si>
    <t>钻石</t>
  </si>
  <si>
    <t>红玉髓</t>
  </si>
  <si>
    <t>蓝玉髓</t>
  </si>
  <si>
    <t>黄玉髓</t>
  </si>
  <si>
    <t>青玉髓</t>
  </si>
  <si>
    <t>绿玉髓</t>
  </si>
  <si>
    <t>神秘石</t>
  </si>
  <si>
    <t>恶魔石</t>
  </si>
  <si>
    <t>天使石</t>
  </si>
  <si>
    <t>MP30</t>
  </si>
  <si>
    <t>HP150</t>
  </si>
  <si>
    <t>MP100</t>
  </si>
  <si>
    <t>HP300</t>
  </si>
  <si>
    <t>MP200</t>
  </si>
  <si>
    <t>HP350</t>
  </si>
  <si>
    <t>HP500</t>
  </si>
  <si>
    <t>MP300</t>
  </si>
  <si>
    <t>HP600</t>
  </si>
  <si>
    <t>HP800</t>
  </si>
  <si>
    <t>MP400</t>
  </si>
  <si>
    <t>HP1000</t>
  </si>
  <si>
    <t>MP500</t>
  </si>
  <si>
    <t>HP1500</t>
  </si>
  <si>
    <t>MP800</t>
  </si>
  <si>
    <t>HP3000</t>
  </si>
  <si>
    <t>HP2000</t>
  </si>
  <si>
    <t>MP1200</t>
  </si>
  <si>
    <t>HP2500</t>
  </si>
  <si>
    <t>MP1600</t>
  </si>
  <si>
    <t>MP2000</t>
  </si>
  <si>
    <t>幸</t>
    <phoneticPr fontId="2" type="noConversion"/>
  </si>
  <si>
    <t>力</t>
    <phoneticPr fontId="2" type="noConversion"/>
  </si>
  <si>
    <t>宝箱</t>
    <phoneticPr fontId="2" type="noConversion"/>
  </si>
  <si>
    <t>体</t>
    <phoneticPr fontId="2" type="noConversion"/>
  </si>
  <si>
    <t>智</t>
    <phoneticPr fontId="2" type="noConversion"/>
  </si>
  <si>
    <t>独角兽</t>
    <phoneticPr fontId="2" type="noConversion"/>
  </si>
  <si>
    <t>独角仙</t>
    <phoneticPr fontId="2" type="noConversion"/>
  </si>
  <si>
    <t>敏</t>
    <phoneticPr fontId="2" type="noConversion"/>
  </si>
  <si>
    <t>鳄鱼</t>
    <phoneticPr fontId="2" type="noConversion"/>
  </si>
  <si>
    <t>番茄玛丽</t>
    <phoneticPr fontId="2" type="noConversion"/>
  </si>
  <si>
    <t>哥布林</t>
    <phoneticPr fontId="2" type="noConversion"/>
  </si>
  <si>
    <t>剑妖</t>
    <phoneticPr fontId="2" type="noConversion"/>
  </si>
  <si>
    <t>铃兰花</t>
    <phoneticPr fontId="2" type="noConversion"/>
  </si>
  <si>
    <t>玫瑰花</t>
    <phoneticPr fontId="2" type="noConversion"/>
  </si>
  <si>
    <t>喵喵</t>
    <phoneticPr fontId="2" type="noConversion"/>
  </si>
  <si>
    <t>蘑菇</t>
    <phoneticPr fontId="2" type="noConversion"/>
  </si>
  <si>
    <t>牛</t>
    <phoneticPr fontId="2" type="noConversion"/>
  </si>
  <si>
    <t>瓢虫</t>
    <phoneticPr fontId="2" type="noConversion"/>
  </si>
  <si>
    <t>青虫</t>
    <phoneticPr fontId="2" type="noConversion"/>
  </si>
  <si>
    <t>蜻蜓</t>
    <phoneticPr fontId="2" type="noConversion"/>
  </si>
  <si>
    <t>蛇</t>
    <phoneticPr fontId="2" type="noConversion"/>
  </si>
  <si>
    <t>窝卷虫</t>
    <phoneticPr fontId="2" type="noConversion"/>
  </si>
  <si>
    <t>乌鸦</t>
    <phoneticPr fontId="2" type="noConversion"/>
  </si>
  <si>
    <t>小木偶</t>
    <phoneticPr fontId="2" type="noConversion"/>
  </si>
  <si>
    <t>猪</t>
    <phoneticPr fontId="2" type="noConversion"/>
  </si>
  <si>
    <t>狗</t>
    <phoneticPr fontId="2" type="noConversion"/>
  </si>
  <si>
    <t>蜥蜴</t>
    <phoneticPr fontId="2" type="noConversion"/>
  </si>
  <si>
    <t>绅士狮子</t>
    <phoneticPr fontId="2" type="noConversion"/>
  </si>
  <si>
    <t>小狗托托</t>
  </si>
  <si>
    <t>大嘴鸭</t>
    <phoneticPr fontId="2" type="noConversion"/>
  </si>
  <si>
    <t>半龙人</t>
    <phoneticPr fontId="2" type="noConversion"/>
  </si>
  <si>
    <t>资料片</t>
    <phoneticPr fontId="2" type="noConversion"/>
  </si>
  <si>
    <t xml:space="preserve">   技能          物种</t>
    <phoneticPr fontId="2" type="noConversion"/>
  </si>
  <si>
    <t>主大陆</t>
    <phoneticPr fontId="2" type="noConversion"/>
  </si>
  <si>
    <t>人鱼传说</t>
    <phoneticPr fontId="2" type="noConversion"/>
  </si>
  <si>
    <t>一千零一夜</t>
    <phoneticPr fontId="2" type="noConversion"/>
  </si>
  <si>
    <t>国王的新衣</t>
    <phoneticPr fontId="2" type="noConversion"/>
  </si>
  <si>
    <t>绿野仙踪</t>
    <phoneticPr fontId="2" type="noConversion"/>
  </si>
  <si>
    <t>拇指姑娘</t>
    <phoneticPr fontId="2" type="noConversion"/>
  </si>
  <si>
    <t>美女与野兽</t>
    <phoneticPr fontId="2" type="noConversion"/>
  </si>
  <si>
    <t>lv35+35</t>
  </si>
  <si>
    <t>基本技能</t>
    <phoneticPr fontId="2" type="noConversion"/>
  </si>
  <si>
    <t>HP200</t>
    <phoneticPr fontId="2" type="noConversion"/>
  </si>
  <si>
    <t>HP30</t>
    <phoneticPr fontId="2" type="noConversion"/>
  </si>
  <si>
    <t>HP60</t>
    <phoneticPr fontId="2" type="noConversion"/>
  </si>
  <si>
    <t>HP50</t>
    <phoneticPr fontId="2" type="noConversion"/>
  </si>
  <si>
    <t>MP10</t>
    <phoneticPr fontId="2" type="noConversion"/>
  </si>
  <si>
    <t>MP30</t>
    <phoneticPr fontId="2" type="noConversion"/>
  </si>
  <si>
    <t>MP20</t>
    <phoneticPr fontId="2" type="noConversion"/>
  </si>
  <si>
    <t>MP40</t>
    <phoneticPr fontId="2" type="noConversion"/>
  </si>
  <si>
    <t>MP50</t>
    <phoneticPr fontId="2" type="noConversion"/>
  </si>
  <si>
    <t>MP80</t>
    <phoneticPr fontId="2" type="noConversion"/>
  </si>
  <si>
    <t>MP120</t>
    <phoneticPr fontId="2" type="noConversion"/>
  </si>
  <si>
    <t>MP380</t>
    <phoneticPr fontId="2" type="noConversion"/>
  </si>
  <si>
    <t>MP150</t>
    <phoneticPr fontId="2" type="noConversion"/>
  </si>
  <si>
    <t>所需等級</t>
  </si>
  <si>
    <t>Lv1</t>
  </si>
  <si>
    <t>新手</t>
  </si>
  <si>
    <t>0 coin</t>
  </si>
  <si>
    <t>Lv12</t>
  </si>
  <si>
    <t>1000 coin</t>
  </si>
  <si>
    <t>Lv24</t>
  </si>
  <si>
    <t>3000 coin</t>
  </si>
  <si>
    <t>Lv36</t>
  </si>
  <si>
    <t>助理</t>
  </si>
  <si>
    <t>5000 coin</t>
  </si>
  <si>
    <t>Lv48</t>
  </si>
  <si>
    <t>7000 coin</t>
  </si>
  <si>
    <t>Lv60</t>
  </si>
  <si>
    <t>9000 coin</t>
  </si>
  <si>
    <t>Lv72</t>
  </si>
  <si>
    <t>11000 coin</t>
  </si>
  <si>
    <t>Lv84</t>
  </si>
  <si>
    <t>13000 coin</t>
  </si>
  <si>
    <t>Lv96</t>
  </si>
  <si>
    <t>神</t>
  </si>
  <si>
    <t>15000 coin</t>
  </si>
  <si>
    <t>见习</t>
  </si>
  <si>
    <t>学徒</t>
  </si>
  <si>
    <t>师傅</t>
  </si>
  <si>
    <t>专家</t>
  </si>
  <si>
    <t>指导</t>
  </si>
  <si>
    <t>大师</t>
  </si>
  <si>
    <t>职业头衔</t>
    <phoneticPr fontId="2" type="noConversion"/>
  </si>
  <si>
    <t>职业名称</t>
    <phoneticPr fontId="2" type="noConversion"/>
  </si>
  <si>
    <t xml:space="preserve">价钱 </t>
    <phoneticPr fontId="2" type="noConversion"/>
  </si>
  <si>
    <t>MP500</t>
    <phoneticPr fontId="2" type="noConversion"/>
  </si>
  <si>
    <t>MP900</t>
    <phoneticPr fontId="2" type="noConversion"/>
  </si>
  <si>
    <t>MP1200</t>
    <phoneticPr fontId="2" type="noConversion"/>
  </si>
  <si>
    <t>HP100</t>
    <phoneticPr fontId="2" type="noConversion"/>
  </si>
  <si>
    <t>HP125</t>
    <phoneticPr fontId="2" type="noConversion"/>
  </si>
  <si>
    <t>HP150</t>
    <phoneticPr fontId="2" type="noConversion"/>
  </si>
  <si>
    <t>HP135</t>
    <phoneticPr fontId="2" type="noConversion"/>
  </si>
  <si>
    <t>HP175</t>
    <phoneticPr fontId="2" type="noConversion"/>
  </si>
  <si>
    <t>HP250</t>
    <phoneticPr fontId="2" type="noConversion"/>
  </si>
  <si>
    <t>HP300</t>
    <phoneticPr fontId="2" type="noConversion"/>
  </si>
  <si>
    <t>HP350</t>
    <phoneticPr fontId="2" type="noConversion"/>
  </si>
  <si>
    <t>HP1000</t>
    <phoneticPr fontId="2" type="noConversion"/>
  </si>
  <si>
    <t>HP1200</t>
    <phoneticPr fontId="2" type="noConversion"/>
  </si>
  <si>
    <t>HP800</t>
    <phoneticPr fontId="2" type="noConversion"/>
  </si>
  <si>
    <t>HP2500</t>
    <phoneticPr fontId="2" type="noConversion"/>
  </si>
  <si>
    <t>HP1600</t>
    <phoneticPr fontId="2" type="noConversion"/>
  </si>
  <si>
    <t>HP2000</t>
    <phoneticPr fontId="2" type="noConversion"/>
  </si>
  <si>
    <t>HP2200</t>
    <phoneticPr fontId="2" type="noConversion"/>
  </si>
  <si>
    <t>妖魔石</t>
  </si>
  <si>
    <t>元素结晶</t>
  </si>
  <si>
    <t>备注</t>
    <phoneticPr fontId="2" type="noConversion"/>
  </si>
  <si>
    <t>3力2体</t>
    <phoneticPr fontId="2" type="noConversion"/>
  </si>
  <si>
    <t>3体2力</t>
    <phoneticPr fontId="2" type="noConversion"/>
  </si>
  <si>
    <r>
      <t>2</t>
    </r>
    <r>
      <rPr>
        <sz val="10"/>
        <rFont val="华文细黑"/>
        <family val="3"/>
        <charset val="134"/>
      </rPr>
      <t>智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体1力</t>
    </r>
    <phoneticPr fontId="2" type="noConversion"/>
  </si>
  <si>
    <r>
      <t>2</t>
    </r>
    <r>
      <rPr>
        <sz val="10"/>
        <rFont val="华文细黑"/>
        <family val="3"/>
        <charset val="134"/>
      </rPr>
      <t>运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体1力</t>
    </r>
    <phoneticPr fontId="2" type="noConversion"/>
  </si>
  <si>
    <r>
      <t>2</t>
    </r>
    <r>
      <rPr>
        <sz val="10"/>
        <rFont val="华文细黑"/>
        <family val="3"/>
        <charset val="134"/>
      </rPr>
      <t>敏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体1力</t>
    </r>
    <phoneticPr fontId="2" type="noConversion"/>
  </si>
  <si>
    <r>
      <t>2</t>
    </r>
    <r>
      <rPr>
        <sz val="10"/>
        <rFont val="华文细黑"/>
        <family val="3"/>
        <charset val="134"/>
      </rPr>
      <t>魅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体1力</t>
    </r>
    <phoneticPr fontId="2" type="noConversion"/>
  </si>
  <si>
    <t>接近2</t>
    <phoneticPr fontId="2" type="noConversion"/>
  </si>
  <si>
    <t>4体</t>
    <phoneticPr fontId="2" type="noConversion"/>
  </si>
  <si>
    <t>3体2智</t>
    <phoneticPr fontId="2" type="noConversion"/>
  </si>
  <si>
    <t>3体2运</t>
    <phoneticPr fontId="2" type="noConversion"/>
  </si>
  <si>
    <t>3体2敏</t>
    <phoneticPr fontId="2" type="noConversion"/>
  </si>
  <si>
    <t>3体2魅</t>
    <phoneticPr fontId="2" type="noConversion"/>
  </si>
  <si>
    <t>特殊物品掉宝资料</t>
    <phoneticPr fontId="2" type="noConversion"/>
  </si>
  <si>
    <t>原石掉宝资料</t>
    <phoneticPr fontId="2" type="noConversion"/>
  </si>
  <si>
    <t>武器防具特殊属性</t>
    <phoneticPr fontId="2" type="noConversion"/>
  </si>
  <si>
    <t>武器加工最大值参考</t>
    <phoneticPr fontId="2" type="noConversion"/>
  </si>
  <si>
    <r>
      <t>2</t>
    </r>
    <r>
      <rPr>
        <sz val="10"/>
        <rFont val="华文细黑"/>
        <family val="3"/>
        <charset val="134"/>
      </rPr>
      <t>力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体1运</t>
    </r>
    <phoneticPr fontId="2" type="noConversion"/>
  </si>
  <si>
    <r>
      <t>2</t>
    </r>
    <r>
      <rPr>
        <sz val="10"/>
        <rFont val="华文细黑"/>
        <family val="3"/>
        <charset val="134"/>
      </rPr>
      <t>智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体1运</t>
    </r>
    <phoneticPr fontId="2" type="noConversion"/>
  </si>
  <si>
    <t>3运2体</t>
    <phoneticPr fontId="2" type="noConversion"/>
  </si>
  <si>
    <r>
      <t>2</t>
    </r>
    <r>
      <rPr>
        <sz val="10"/>
        <rFont val="华文细黑"/>
        <family val="3"/>
        <charset val="134"/>
      </rPr>
      <t>敏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体1运</t>
    </r>
    <phoneticPr fontId="2" type="noConversion"/>
  </si>
  <si>
    <r>
      <t>2</t>
    </r>
    <r>
      <rPr>
        <sz val="10"/>
        <rFont val="华文细黑"/>
        <family val="3"/>
        <charset val="134"/>
      </rPr>
      <t>魅</t>
    </r>
    <r>
      <rPr>
        <sz val="10"/>
        <color indexed="10"/>
        <rFont val="华文细黑"/>
        <family val="3"/>
        <charset val="134"/>
      </rPr>
      <t>2</t>
    </r>
    <r>
      <rPr>
        <sz val="10"/>
        <rFont val="华文细黑"/>
        <family val="3"/>
        <charset val="134"/>
      </rPr>
      <t>体1运</t>
    </r>
    <phoneticPr fontId="2" type="noConversion"/>
  </si>
  <si>
    <t>3敏2力</t>
    <phoneticPr fontId="2" type="noConversion"/>
  </si>
  <si>
    <t>3敏2体</t>
    <phoneticPr fontId="2" type="noConversion"/>
  </si>
  <si>
    <t>3敏2智</t>
    <phoneticPr fontId="2" type="noConversion"/>
  </si>
  <si>
    <t>3敏2运</t>
    <phoneticPr fontId="2" type="noConversion"/>
  </si>
  <si>
    <t>4敏</t>
    <phoneticPr fontId="2" type="noConversion"/>
  </si>
  <si>
    <t>3敏2魅</t>
    <phoneticPr fontId="2" type="noConversion"/>
  </si>
  <si>
    <t>4力</t>
    <phoneticPr fontId="2" type="noConversion"/>
  </si>
  <si>
    <t>3力2智</t>
    <phoneticPr fontId="2" type="noConversion"/>
  </si>
  <si>
    <t>3力2运</t>
    <phoneticPr fontId="2" type="noConversion"/>
  </si>
  <si>
    <t>3力2敏</t>
    <phoneticPr fontId="2" type="noConversion"/>
  </si>
  <si>
    <t>3力2魅</t>
    <phoneticPr fontId="2" type="noConversion"/>
  </si>
  <si>
    <t>2.5力</t>
    <phoneticPr fontId="2" type="noConversion"/>
  </si>
  <si>
    <t>2.5体</t>
    <phoneticPr fontId="2" type="noConversion"/>
  </si>
  <si>
    <t>2.5智</t>
    <phoneticPr fontId="2" type="noConversion"/>
  </si>
  <si>
    <t>2.5运</t>
    <phoneticPr fontId="2" type="noConversion"/>
  </si>
  <si>
    <t>2.5敏</t>
    <phoneticPr fontId="2" type="noConversion"/>
  </si>
  <si>
    <t>2.5魅</t>
    <phoneticPr fontId="2" type="noConversion"/>
  </si>
  <si>
    <t>其它平均</t>
    <phoneticPr fontId="2" type="noConversion"/>
  </si>
  <si>
    <t>3智2力</t>
    <phoneticPr fontId="2" type="noConversion"/>
  </si>
  <si>
    <t>3智2体</t>
    <phoneticPr fontId="2" type="noConversion"/>
  </si>
  <si>
    <t>4智</t>
    <phoneticPr fontId="2" type="noConversion"/>
  </si>
  <si>
    <t>3智2运</t>
    <phoneticPr fontId="2" type="noConversion"/>
  </si>
  <si>
    <t>3智2敏</t>
    <phoneticPr fontId="2" type="noConversion"/>
  </si>
  <si>
    <t>3智2魅</t>
    <phoneticPr fontId="2" type="noConversion"/>
  </si>
  <si>
    <t>金系</t>
    <phoneticPr fontId="2" type="noConversion"/>
  </si>
  <si>
    <t>木系</t>
    <phoneticPr fontId="2" type="noConversion"/>
  </si>
  <si>
    <t>土系</t>
    <phoneticPr fontId="2" type="noConversion"/>
  </si>
  <si>
    <t>水系</t>
    <phoneticPr fontId="2" type="noConversion"/>
  </si>
  <si>
    <t>火系</t>
    <phoneticPr fontId="2" type="noConversion"/>
  </si>
  <si>
    <t>光系</t>
    <phoneticPr fontId="2" type="noConversion"/>
  </si>
  <si>
    <t>暗系</t>
    <phoneticPr fontId="2" type="noConversion"/>
  </si>
  <si>
    <t>力量</t>
    <phoneticPr fontId="2" type="noConversion"/>
  </si>
  <si>
    <t>体质</t>
    <phoneticPr fontId="2" type="noConversion"/>
  </si>
  <si>
    <t>智慧</t>
    <phoneticPr fontId="2" type="noConversion"/>
  </si>
  <si>
    <t>敏捷</t>
    <phoneticPr fontId="2" type="noConversion"/>
  </si>
  <si>
    <t>魅力</t>
    <phoneticPr fontId="2" type="noConversion"/>
  </si>
  <si>
    <t>幸运</t>
    <phoneticPr fontId="2" type="noConversion"/>
  </si>
  <si>
    <t>幻兽成长偏向一览</t>
    <phoneticPr fontId="2" type="noConversion"/>
  </si>
  <si>
    <t xml:space="preserve">   成长          属性</t>
    <phoneticPr fontId="2" type="noConversion"/>
  </si>
  <si>
    <t>树蛙卡</t>
  </si>
  <si>
    <t>水窝虫卡</t>
  </si>
  <si>
    <t>红木偶卡</t>
  </si>
  <si>
    <t>北方洞窟</t>
  </si>
  <si>
    <t>土拨鼠卡</t>
  </si>
  <si>
    <t>光瓢虫卡</t>
  </si>
  <si>
    <t>邪恶秃鹰卡</t>
  </si>
  <si>
    <t>金狮卡</t>
  </si>
  <si>
    <t>木头鹰卡</t>
  </si>
  <si>
    <t>史莱姆卡</t>
  </si>
  <si>
    <t>火焰飞马卡</t>
  </si>
  <si>
    <t>彩虹城地下迷宫</t>
  </si>
  <si>
    <t>恶虎卡</t>
  </si>
  <si>
    <t>光箭犹猪卡</t>
  </si>
  <si>
    <t>黑寡妇卡</t>
  </si>
  <si>
    <t>土狼卡</t>
  </si>
  <si>
    <t>火艾波卡</t>
  </si>
  <si>
    <t>金猴子卡</t>
  </si>
  <si>
    <t>毒骷髅卡</t>
  </si>
  <si>
    <t>半龙人卡</t>
  </si>
  <si>
    <t>黄金虎卡</t>
  </si>
  <si>
    <t>木蜘蛛卡</t>
  </si>
  <si>
    <t>水蟹卡</t>
  </si>
  <si>
    <t>阿波罗狮卡</t>
  </si>
  <si>
    <t>土瓢虫卡</t>
  </si>
  <si>
    <t>光波波卡</t>
  </si>
  <si>
    <t>正港黑猪卡</t>
  </si>
  <si>
    <t>水鬼卡</t>
  </si>
  <si>
    <t>青苔石卡</t>
  </si>
  <si>
    <t>火螃蟹卡</t>
  </si>
  <si>
    <t>彩虹城外</t>
  </si>
  <si>
    <t>木蟹卡</t>
  </si>
  <si>
    <t>火蚌壳卡</t>
  </si>
  <si>
    <t>木居蟹卡</t>
  </si>
  <si>
    <t>泡泡章鱼卡</t>
  </si>
  <si>
    <t>路比卡</t>
  </si>
  <si>
    <t>金河豚卡</t>
  </si>
  <si>
    <t>海马卡</t>
  </si>
  <si>
    <t>布鲁鲸卡</t>
  </si>
  <si>
    <t>镁光灯卡</t>
  </si>
  <si>
    <t>金骆马卡</t>
  </si>
  <si>
    <t>爱水虎卡</t>
  </si>
  <si>
    <t>木鸠兽卡</t>
  </si>
  <si>
    <t>卡拉斯空域</t>
  </si>
  <si>
    <t>绵绵狗卡</t>
  </si>
  <si>
    <t>妮莎骆驼卡</t>
  </si>
  <si>
    <t>微笑猫咪卡</t>
  </si>
  <si>
    <t>挖洞鼬卡</t>
  </si>
  <si>
    <t>红毛猿卡</t>
  </si>
  <si>
    <t>绿尾鸟卡</t>
  </si>
  <si>
    <t>木Q兽卡</t>
  </si>
  <si>
    <t>小金猫头鹰卡</t>
  </si>
  <si>
    <t>土象卡</t>
  </si>
  <si>
    <t>滑水鼬</t>
    <phoneticPr fontId="2" type="noConversion"/>
  </si>
  <si>
    <t>苹果汁</t>
    <phoneticPr fontId="2" type="noConversion"/>
  </si>
  <si>
    <t>爬木矮</t>
    <phoneticPr fontId="2" type="noConversion"/>
  </si>
  <si>
    <t>金属矮</t>
    <phoneticPr fontId="2" type="noConversion"/>
  </si>
  <si>
    <t>黑绵羊</t>
    <phoneticPr fontId="2" type="noConversion"/>
  </si>
  <si>
    <t>火焰羊</t>
    <phoneticPr fontId="2" type="noConversion"/>
  </si>
  <si>
    <t>迷你虎</t>
    <phoneticPr fontId="2" type="noConversion"/>
  </si>
  <si>
    <t>火焰鼠</t>
    <phoneticPr fontId="2" type="noConversion"/>
  </si>
  <si>
    <t>游泳猴</t>
    <phoneticPr fontId="2" type="noConversion"/>
  </si>
  <si>
    <t>黄牛</t>
    <phoneticPr fontId="2" type="noConversion"/>
  </si>
  <si>
    <t>箭猪</t>
    <phoneticPr fontId="2" type="noConversion"/>
  </si>
  <si>
    <t>光鼠</t>
    <phoneticPr fontId="2" type="noConversion"/>
  </si>
  <si>
    <t>红牛</t>
    <phoneticPr fontId="2" type="noConversion"/>
  </si>
  <si>
    <t>土鹰</t>
    <phoneticPr fontId="2" type="noConversion"/>
  </si>
  <si>
    <t>红木偶</t>
    <phoneticPr fontId="2" type="noConversion"/>
  </si>
  <si>
    <t>岩石怪</t>
    <phoneticPr fontId="2" type="noConversion"/>
  </si>
  <si>
    <t>夜鹰</t>
    <phoneticPr fontId="2" type="noConversion"/>
  </si>
  <si>
    <t>恶虎</t>
    <phoneticPr fontId="2" type="noConversion"/>
  </si>
  <si>
    <t>火猴</t>
    <phoneticPr fontId="2" type="noConversion"/>
  </si>
  <si>
    <t>血骷髅</t>
    <phoneticPr fontId="2" type="noConversion"/>
  </si>
  <si>
    <t>光偶</t>
    <phoneticPr fontId="2" type="noConversion"/>
  </si>
  <si>
    <t>挖土蜘蛛</t>
    <phoneticPr fontId="2" type="noConversion"/>
  </si>
  <si>
    <t>木头鹰</t>
    <phoneticPr fontId="2" type="noConversion"/>
  </si>
  <si>
    <t>镶金岩石</t>
    <phoneticPr fontId="2" type="noConversion"/>
  </si>
  <si>
    <t>耀眼之狼</t>
    <phoneticPr fontId="2" type="noConversion"/>
  </si>
  <si>
    <t>派艾波</t>
    <phoneticPr fontId="2" type="noConversion"/>
  </si>
  <si>
    <t>暗黑兽</t>
    <phoneticPr fontId="2" type="noConversion"/>
  </si>
  <si>
    <t>热虎</t>
    <phoneticPr fontId="2" type="noConversion"/>
  </si>
  <si>
    <t>窝木虫</t>
    <phoneticPr fontId="2" type="noConversion"/>
  </si>
  <si>
    <t>土瓢虫</t>
    <phoneticPr fontId="2" type="noConversion"/>
  </si>
  <si>
    <t>金毛雪怪</t>
    <phoneticPr fontId="2" type="noConversion"/>
  </si>
  <si>
    <t>焰层云</t>
    <phoneticPr fontId="2" type="noConversion"/>
  </si>
  <si>
    <t>光蜥人</t>
    <phoneticPr fontId="2" type="noConversion"/>
  </si>
  <si>
    <t>土狗</t>
    <phoneticPr fontId="2" type="noConversion"/>
  </si>
  <si>
    <t>积雨云</t>
    <phoneticPr fontId="2" type="noConversion"/>
  </si>
  <si>
    <t>光波波</t>
    <phoneticPr fontId="2" type="noConversion"/>
  </si>
  <si>
    <t>大眼熊</t>
    <phoneticPr fontId="2" type="noConversion"/>
  </si>
  <si>
    <t>黏土蟹</t>
    <phoneticPr fontId="2" type="noConversion"/>
  </si>
  <si>
    <t>月光蟹</t>
    <phoneticPr fontId="2" type="noConversion"/>
  </si>
  <si>
    <t>青苔石</t>
    <phoneticPr fontId="2" type="noConversion"/>
  </si>
  <si>
    <t>木龙人</t>
    <phoneticPr fontId="2" type="noConversion"/>
  </si>
  <si>
    <t>大理石</t>
    <phoneticPr fontId="2" type="noConversion"/>
  </si>
  <si>
    <t>火爆小贼</t>
    <phoneticPr fontId="2" type="noConversion"/>
  </si>
  <si>
    <t>浮木乌贼</t>
    <phoneticPr fontId="2" type="noConversion"/>
  </si>
  <si>
    <t>暗黑虎</t>
    <phoneticPr fontId="2" type="noConversion"/>
  </si>
  <si>
    <t>激战蜥蜴</t>
    <phoneticPr fontId="2" type="noConversion"/>
  </si>
  <si>
    <t>火蚌壳</t>
    <phoneticPr fontId="2" type="noConversion"/>
  </si>
  <si>
    <t>黑狗兄</t>
    <phoneticPr fontId="2" type="noConversion"/>
  </si>
  <si>
    <t>金太郎</t>
    <phoneticPr fontId="2" type="noConversion"/>
  </si>
  <si>
    <t>日光灯</t>
    <phoneticPr fontId="2" type="noConversion"/>
  </si>
  <si>
    <t>挖土虫</t>
    <phoneticPr fontId="2" type="noConversion"/>
  </si>
  <si>
    <t>三月兔</t>
    <phoneticPr fontId="2" type="noConversion"/>
  </si>
  <si>
    <t>暴走猫</t>
    <phoneticPr fontId="2" type="noConversion"/>
  </si>
  <si>
    <t>黄玫瑰</t>
    <phoneticPr fontId="2" type="noConversion"/>
  </si>
  <si>
    <t>度木鸟</t>
    <phoneticPr fontId="2" type="noConversion"/>
  </si>
  <si>
    <t>水狗狗</t>
    <phoneticPr fontId="2" type="noConversion"/>
  </si>
  <si>
    <t>微笑猫咪</t>
    <phoneticPr fontId="2" type="noConversion"/>
  </si>
  <si>
    <t>土黄菊</t>
    <phoneticPr fontId="2" type="noConversion"/>
  </si>
  <si>
    <t>多金乌贼</t>
    <phoneticPr fontId="2" type="noConversion"/>
  </si>
  <si>
    <t>木海马</t>
    <phoneticPr fontId="2" type="noConversion"/>
  </si>
  <si>
    <t>武得章鱼</t>
    <phoneticPr fontId="2" type="noConversion"/>
  </si>
  <si>
    <t>蓝色兔子</t>
    <phoneticPr fontId="2" type="noConversion"/>
  </si>
  <si>
    <t>水蓝鸟</t>
    <phoneticPr fontId="2" type="noConversion"/>
  </si>
  <si>
    <t>褐玫瑰</t>
    <phoneticPr fontId="2" type="noConversion"/>
  </si>
  <si>
    <t>土贝贝</t>
    <phoneticPr fontId="2" type="noConversion"/>
  </si>
  <si>
    <t>木龟</t>
    <phoneticPr fontId="2" type="noConversion"/>
  </si>
  <si>
    <t>水蜥蜴</t>
    <phoneticPr fontId="2" type="noConversion"/>
  </si>
  <si>
    <t>福瑞龙</t>
    <phoneticPr fontId="2" type="noConversion"/>
  </si>
  <si>
    <t>土鸟</t>
    <phoneticPr fontId="2" type="noConversion"/>
  </si>
  <si>
    <t>土精灵</t>
    <phoneticPr fontId="2" type="noConversion"/>
  </si>
  <si>
    <t>白铃兰</t>
    <phoneticPr fontId="2" type="noConversion"/>
  </si>
  <si>
    <t>光凤凰</t>
    <phoneticPr fontId="2" type="noConversion"/>
  </si>
  <si>
    <t>暗精灵</t>
    <phoneticPr fontId="2" type="noConversion"/>
  </si>
  <si>
    <t>亮晶晶</t>
    <phoneticPr fontId="2" type="noConversion"/>
  </si>
  <si>
    <t>金属魔</t>
    <phoneticPr fontId="2" type="noConversion"/>
  </si>
  <si>
    <t>希望天使</t>
    <phoneticPr fontId="2" type="noConversion"/>
  </si>
  <si>
    <t>光盏菊</t>
    <phoneticPr fontId="2" type="noConversion"/>
  </si>
  <si>
    <t>暗灯笼</t>
    <phoneticPr fontId="2" type="noConversion"/>
  </si>
  <si>
    <t>怪贝壳</t>
    <phoneticPr fontId="2" type="noConversion"/>
  </si>
  <si>
    <t>猴年兽</t>
    <phoneticPr fontId="2" type="noConversion"/>
  </si>
  <si>
    <t>阴森魔女</t>
    <phoneticPr fontId="2" type="noConversion"/>
  </si>
  <si>
    <t>水水魔女</t>
    <phoneticPr fontId="2" type="noConversion"/>
  </si>
  <si>
    <t>法亚象</t>
    <phoneticPr fontId="2" type="noConversion"/>
  </si>
  <si>
    <t>沙漠毒蝎</t>
    <phoneticPr fontId="2" type="noConversion"/>
  </si>
  <si>
    <t>神气狮鸠</t>
    <phoneticPr fontId="2" type="noConversion"/>
  </si>
  <si>
    <t>伍德女妖</t>
    <phoneticPr fontId="2" type="noConversion"/>
  </si>
  <si>
    <t>麻辣骆驼</t>
    <phoneticPr fontId="2" type="noConversion"/>
  </si>
  <si>
    <t>土象</t>
    <phoneticPr fontId="2" type="noConversion"/>
  </si>
  <si>
    <t>光Q兽</t>
    <phoneticPr fontId="2" type="noConversion"/>
  </si>
  <si>
    <t>死光精灵</t>
    <phoneticPr fontId="2" type="noConversion"/>
  </si>
  <si>
    <t>瓦特女妖</t>
    <phoneticPr fontId="2" type="noConversion"/>
  </si>
  <si>
    <t>法亚女妖</t>
    <phoneticPr fontId="2" type="noConversion"/>
  </si>
  <si>
    <t>钻洞企鹅</t>
    <phoneticPr fontId="2" type="noConversion"/>
  </si>
  <si>
    <t>白皮怕啃</t>
    <phoneticPr fontId="2" type="noConversion"/>
  </si>
  <si>
    <t>流浪抠拉</t>
    <phoneticPr fontId="2" type="noConversion"/>
  </si>
  <si>
    <t>暴暴企鹅</t>
    <phoneticPr fontId="2" type="noConversion"/>
  </si>
  <si>
    <t>白目抠拉</t>
    <phoneticPr fontId="2" type="noConversion"/>
  </si>
  <si>
    <t>玄武蜂</t>
    <phoneticPr fontId="2" type="noConversion"/>
  </si>
  <si>
    <t>水晶机器人</t>
    <phoneticPr fontId="2" type="noConversion"/>
  </si>
  <si>
    <t>泡水草包</t>
    <phoneticPr fontId="2" type="noConversion"/>
  </si>
  <si>
    <t>跑路鳄鱼</t>
    <phoneticPr fontId="2" type="noConversion"/>
  </si>
  <si>
    <t>漂白鳄鱼</t>
    <phoneticPr fontId="2" type="noConversion"/>
  </si>
  <si>
    <t>极道鳄鱼</t>
    <phoneticPr fontId="2" type="noConversion"/>
  </si>
  <si>
    <t>黄铜机器人</t>
    <phoneticPr fontId="2" type="noConversion"/>
  </si>
  <si>
    <t>钢铁机器人</t>
    <phoneticPr fontId="2" type="noConversion"/>
  </si>
  <si>
    <t>绿草菇</t>
    <phoneticPr fontId="2" type="noConversion"/>
  </si>
  <si>
    <t>枫叶菇</t>
    <phoneticPr fontId="2" type="noConversion"/>
  </si>
  <si>
    <t>天白冬菇</t>
    <phoneticPr fontId="2" type="noConversion"/>
  </si>
  <si>
    <t>狗狗小白</t>
    <phoneticPr fontId="2" type="noConversion"/>
  </si>
  <si>
    <t>绿蜻蜓</t>
    <phoneticPr fontId="2" type="noConversion"/>
  </si>
  <si>
    <t>红蜻蜓</t>
    <phoneticPr fontId="2" type="noConversion"/>
  </si>
  <si>
    <t>荧光蜻蜓</t>
    <phoneticPr fontId="2" type="noConversion"/>
  </si>
  <si>
    <t>神秘宝箱</t>
    <phoneticPr fontId="2" type="noConversion"/>
  </si>
  <si>
    <t>凉拌大嘴鸭</t>
    <phoneticPr fontId="2" type="noConversion"/>
  </si>
  <si>
    <t>地底宝箱</t>
    <phoneticPr fontId="2" type="noConversion"/>
  </si>
  <si>
    <t>水煮大嘴鸭</t>
    <phoneticPr fontId="2" type="noConversion"/>
  </si>
  <si>
    <t>第1关</t>
    <phoneticPr fontId="2" type="noConversion"/>
  </si>
  <si>
    <t>不挑战</t>
    <phoneticPr fontId="2" type="noConversion"/>
  </si>
  <si>
    <t>挑战失败</t>
    <phoneticPr fontId="2" type="noConversion"/>
  </si>
  <si>
    <t>挑战成功</t>
    <phoneticPr fontId="2" type="noConversion"/>
  </si>
  <si>
    <t>粉红豹</t>
    <phoneticPr fontId="2" type="noConversion"/>
  </si>
  <si>
    <t>火焰祭司</t>
    <phoneticPr fontId="2" type="noConversion"/>
  </si>
  <si>
    <t>杀手鳄鱼</t>
    <phoneticPr fontId="2" type="noConversion"/>
  </si>
  <si>
    <t>穴居猕猴</t>
    <phoneticPr fontId="2" type="noConversion"/>
  </si>
  <si>
    <t>云雀</t>
    <phoneticPr fontId="2" type="noConversion"/>
  </si>
  <si>
    <t>墨汁</t>
    <phoneticPr fontId="2" type="noConversion"/>
  </si>
  <si>
    <t>小小月兔</t>
    <phoneticPr fontId="2" type="noConversion"/>
  </si>
  <si>
    <t>冷艳豹卡</t>
  </si>
  <si>
    <t>黑神驹卡</t>
  </si>
  <si>
    <t>木狮卡</t>
  </si>
  <si>
    <t>绿抠拉卡</t>
  </si>
  <si>
    <t>挖土大可兽卡</t>
  </si>
  <si>
    <t>钻洞企鹅卡</t>
  </si>
  <si>
    <t>金属幽灵卡</t>
  </si>
  <si>
    <t>金银城外</t>
  </si>
  <si>
    <t>幽灵卡</t>
  </si>
  <si>
    <t>火幽灵卡</t>
  </si>
  <si>
    <t>地缚灵卡</t>
  </si>
  <si>
    <t>光幽卡</t>
  </si>
  <si>
    <t>怨灵卡</t>
  </si>
  <si>
    <t>金光骷髅卡</t>
  </si>
  <si>
    <t>木乃伊卡</t>
  </si>
  <si>
    <t>水骷髅卡</t>
  </si>
  <si>
    <t>血骷髅卡</t>
  </si>
  <si>
    <t>土骷髅卡</t>
  </si>
  <si>
    <t>白骨头卡</t>
  </si>
  <si>
    <t>金属魔卡</t>
  </si>
  <si>
    <t>阴森魔女卡</t>
  </si>
  <si>
    <t>幻兽序号一览</t>
    <phoneticPr fontId="2" type="noConversion"/>
  </si>
  <si>
    <t>法亚女妖卡</t>
  </si>
  <si>
    <t>绿怕啃卡</t>
  </si>
  <si>
    <t>黑森林卡</t>
  </si>
  <si>
    <t>地狱修士卡</t>
  </si>
  <si>
    <t>泡水草包卡</t>
  </si>
  <si>
    <t>红瓢虫卡</t>
  </si>
  <si>
    <t>新手区</t>
  </si>
  <si>
    <t>暗瓢虫卡</t>
  </si>
  <si>
    <t>河童146、红莲鲤鱼</t>
    <phoneticPr fontId="2" type="noConversion"/>
  </si>
  <si>
    <t>黄金宝箱、咖啡鲤鱼、水母183</t>
    <phoneticPr fontId="2" type="noConversion"/>
  </si>
  <si>
    <t>石天狗122、醉天狗、小白鬼</t>
    <phoneticPr fontId="2" type="noConversion"/>
  </si>
  <si>
    <t>青草鲤鱼、浪天狗173、顽皮鬼</t>
    <phoneticPr fontId="2" type="noConversion"/>
  </si>
  <si>
    <t>绿天狗、青之鬼182、大邪鬼</t>
    <phoneticPr fontId="2" type="noConversion"/>
  </si>
  <si>
    <t>隐居剑客、水龟、狐忍者、银狐忍者104</t>
    <phoneticPr fontId="2" type="noConversion"/>
  </si>
  <si>
    <t>木叶狐忍者、浪人135、葡萄酒</t>
    <phoneticPr fontId="2" type="noConversion"/>
  </si>
  <si>
    <t>金光企鹅188、泥浆水母、红河童、地狱水母</t>
    <phoneticPr fontId="2" type="noConversion"/>
  </si>
  <si>
    <t>金河童189、辣水母、可可亚河童</t>
    <phoneticPr fontId="2" type="noConversion"/>
  </si>
  <si>
    <t>月光水母、流沙河童、地狱鲤鱼218</t>
    <phoneticPr fontId="2" type="noConversion"/>
  </si>
  <si>
    <t>竹之鬼、暴力小鬼135、天之鬼</t>
    <phoneticPr fontId="2" type="noConversion"/>
  </si>
  <si>
    <t>抢钱鳄鱼、遁地狐忍者、游泳企鹅159、白云天狗</t>
    <phoneticPr fontId="2" type="noConversion"/>
  </si>
  <si>
    <t>鼠</t>
    <phoneticPr fontId="2" type="noConversion"/>
  </si>
  <si>
    <t>蝶</t>
    <phoneticPr fontId="2" type="noConversion"/>
  </si>
  <si>
    <t>兔</t>
    <phoneticPr fontId="2" type="noConversion"/>
  </si>
  <si>
    <t>狼</t>
    <phoneticPr fontId="2" type="noConversion"/>
  </si>
  <si>
    <t>猴</t>
    <phoneticPr fontId="2" type="noConversion"/>
  </si>
  <si>
    <t>狮</t>
    <phoneticPr fontId="2" type="noConversion"/>
  </si>
  <si>
    <t>虎</t>
    <phoneticPr fontId="2" type="noConversion"/>
  </si>
  <si>
    <t>波里</t>
    <phoneticPr fontId="2" type="noConversion"/>
  </si>
  <si>
    <t>岩石</t>
    <phoneticPr fontId="2" type="noConversion"/>
  </si>
  <si>
    <t>半龙</t>
    <phoneticPr fontId="2" type="noConversion"/>
  </si>
  <si>
    <t>亡命一击</t>
    <phoneticPr fontId="2" type="noConversion"/>
  </si>
  <si>
    <t>魔力龟</t>
    <phoneticPr fontId="2" type="noConversion"/>
  </si>
  <si>
    <t>雷爵兽</t>
    <phoneticPr fontId="2" type="noConversion"/>
  </si>
  <si>
    <t>微笑猫</t>
    <phoneticPr fontId="2" type="noConversion"/>
  </si>
  <si>
    <t>金盏菊</t>
    <phoneticPr fontId="2" type="noConversion"/>
  </si>
  <si>
    <t>士兵</t>
    <phoneticPr fontId="2" type="noConversion"/>
  </si>
  <si>
    <t>小恶魔</t>
    <phoneticPr fontId="2" type="noConversion"/>
  </si>
  <si>
    <t>QQ兽</t>
    <phoneticPr fontId="2" type="noConversion"/>
  </si>
  <si>
    <t>小天使</t>
    <phoneticPr fontId="2" type="noConversion"/>
  </si>
  <si>
    <t>无尾熊</t>
    <phoneticPr fontId="2" type="noConversion"/>
  </si>
  <si>
    <t>鸭嘴兽</t>
    <phoneticPr fontId="2" type="noConversion"/>
  </si>
  <si>
    <t>云</t>
    <phoneticPr fontId="2" type="noConversion"/>
  </si>
  <si>
    <t>精灵</t>
    <phoneticPr fontId="2" type="noConversion"/>
  </si>
  <si>
    <t>卡拉龙</t>
    <phoneticPr fontId="2" type="noConversion"/>
  </si>
  <si>
    <t>草莓布丁</t>
    <phoneticPr fontId="2" type="noConversion"/>
  </si>
  <si>
    <t>燕子</t>
    <phoneticPr fontId="2" type="noConversion"/>
  </si>
  <si>
    <t>魔法技能</t>
    <phoneticPr fontId="2" type="noConversion"/>
  </si>
  <si>
    <t>鼠</t>
    <phoneticPr fontId="2" type="noConversion"/>
  </si>
  <si>
    <t>魔力龟</t>
    <phoneticPr fontId="2" type="noConversion"/>
  </si>
  <si>
    <t>雷爵兽</t>
    <phoneticPr fontId="2" type="noConversion"/>
  </si>
  <si>
    <t>微笑猫</t>
    <phoneticPr fontId="2" type="noConversion"/>
  </si>
  <si>
    <t>金盏菊</t>
    <phoneticPr fontId="2" type="noConversion"/>
  </si>
  <si>
    <t>浪人</t>
    <phoneticPr fontId="2" type="noConversion"/>
  </si>
  <si>
    <t>小鬼</t>
    <phoneticPr fontId="2" type="noConversion"/>
  </si>
  <si>
    <t>河童</t>
    <phoneticPr fontId="2" type="noConversion"/>
  </si>
  <si>
    <t>天狗</t>
    <phoneticPr fontId="2" type="noConversion"/>
  </si>
  <si>
    <t>狐忍者</t>
    <phoneticPr fontId="2" type="noConversion"/>
  </si>
  <si>
    <t>鲤鱼</t>
    <phoneticPr fontId="2" type="noConversion"/>
  </si>
  <si>
    <t>鬼将军</t>
    <phoneticPr fontId="2" type="noConversion"/>
  </si>
  <si>
    <t>水瓢虫卡</t>
  </si>
  <si>
    <t>豌豆湖</t>
  </si>
  <si>
    <t>木瓢虫卡</t>
  </si>
  <si>
    <t>金属瓢虫卡</t>
  </si>
  <si>
    <t>水蜘蛛卡</t>
  </si>
  <si>
    <t>金壳蛛卡</t>
  </si>
  <si>
    <t>莱特蜘蛛卡</t>
  </si>
  <si>
    <t>挖土蜘蛛卡</t>
  </si>
  <si>
    <t>火蜘蛛卡</t>
  </si>
  <si>
    <t>窝卷虫卡</t>
  </si>
  <si>
    <t>火卷虫卡</t>
  </si>
  <si>
    <t>土窝虫卡</t>
  </si>
  <si>
    <t>窝木虫卡</t>
  </si>
  <si>
    <t>黑卷虫卡</t>
  </si>
  <si>
    <t>光窝虫卡</t>
  </si>
  <si>
    <t>大红蝶卡</t>
  </si>
  <si>
    <t>巴斯拉空域</t>
  </si>
  <si>
    <t>巴格达空域</t>
  </si>
  <si>
    <t>黄褐蝶卡</t>
  </si>
  <si>
    <t>天使蝶卡</t>
  </si>
  <si>
    <t>枯叶蝶卡</t>
  </si>
  <si>
    <t>灿金蝶卡</t>
  </si>
  <si>
    <t>黑蝶卡</t>
  </si>
  <si>
    <t>恋水蝶卡</t>
  </si>
  <si>
    <t>挖土虫卡</t>
  </si>
  <si>
    <t>墨汁毛虫卡</t>
  </si>
  <si>
    <t>啃木虫卡</t>
  </si>
  <si>
    <t>哈尼蜂卡</t>
  </si>
  <si>
    <t>汲水蜂卡</t>
  </si>
  <si>
    <t>杀手蜂卡</t>
  </si>
  <si>
    <t>土蜂卡</t>
  </si>
  <si>
    <t>神灯精灵卡</t>
  </si>
  <si>
    <t>巨木精灵卡</t>
  </si>
  <si>
    <t>赤焰巨人卡</t>
  </si>
  <si>
    <t>沙土巨魔卡</t>
  </si>
  <si>
    <t>闪光精灵卡</t>
  </si>
  <si>
    <t>贪心哥布林卡</t>
  </si>
  <si>
    <t>古堡地下3F</t>
  </si>
  <si>
    <t>黄金宝箱卡</t>
  </si>
  <si>
    <t>古堡地下1F</t>
  </si>
  <si>
    <t>闪电剑妖卡</t>
  </si>
  <si>
    <t>古堡地下2F</t>
  </si>
  <si>
    <t>发呆哥布林卡</t>
  </si>
  <si>
    <t>神秘宝箱卡</t>
  </si>
  <si>
    <t>丛林剑妖卡</t>
  </si>
  <si>
    <t>海底宝箱卡</t>
  </si>
  <si>
    <t>蓝天剑妖卡</t>
  </si>
  <si>
    <t>害羞哥布林卡</t>
  </si>
  <si>
    <t>咬人箱卡</t>
  </si>
  <si>
    <t>火焰剑妖卡</t>
  </si>
  <si>
    <t>大地哥布林卡</t>
  </si>
  <si>
    <t>地底宝箱卡</t>
  </si>
  <si>
    <t>石像剑妖卡</t>
  </si>
  <si>
    <t>勇敢哥布林卡</t>
  </si>
  <si>
    <t>白银剑妖卡</t>
  </si>
  <si>
    <t>狡诈哥布林卡</t>
  </si>
  <si>
    <t>猜谜箱卡</t>
  </si>
  <si>
    <t>恶魔剑妖卡</t>
  </si>
  <si>
    <t>第四级：啥米碗糕集卡册</t>
    <phoneticPr fontId="2" type="noConversion"/>
  </si>
  <si>
    <t>巴斯密洞B3</t>
    <phoneticPr fontId="2" type="noConversion"/>
  </si>
  <si>
    <t>大盗巢穴B3</t>
    <phoneticPr fontId="2" type="noConversion"/>
  </si>
  <si>
    <t>大盗巢穴B1</t>
    <phoneticPr fontId="2" type="noConversion"/>
  </si>
  <si>
    <t>冥界洞窟B1</t>
    <phoneticPr fontId="2" type="noConversion"/>
  </si>
  <si>
    <t>趴趴迷宫B3</t>
    <phoneticPr fontId="2" type="noConversion"/>
  </si>
  <si>
    <t>巴斯密洞B1</t>
    <phoneticPr fontId="2" type="noConversion"/>
  </si>
  <si>
    <t>趴趴迷宫B2</t>
    <phoneticPr fontId="2" type="noConversion"/>
  </si>
  <si>
    <t>第八级：虫虫百科集卡册</t>
    <phoneticPr fontId="2" type="noConversion"/>
  </si>
  <si>
    <t>奖品设置</t>
    <phoneticPr fontId="2" type="noConversion"/>
  </si>
  <si>
    <t>安慰奖(随机抽一)</t>
    <phoneticPr fontId="2" type="noConversion"/>
  </si>
  <si>
    <t>到府收购券20张</t>
    <phoneticPr fontId="2" type="noConversion"/>
  </si>
  <si>
    <t>四奖(随机抽一)</t>
    <phoneticPr fontId="2" type="noConversion"/>
  </si>
  <si>
    <t>力量捣蛋药丸</t>
    <phoneticPr fontId="2" type="noConversion"/>
  </si>
  <si>
    <t>商店贵宾卡20张</t>
    <phoneticPr fontId="2" type="noConversion"/>
  </si>
  <si>
    <t>力量调整药丸</t>
    <phoneticPr fontId="2" type="noConversion"/>
  </si>
  <si>
    <t>村之任意门20张</t>
    <phoneticPr fontId="2" type="noConversion"/>
  </si>
  <si>
    <t>幸运捣蛋药丸</t>
    <phoneticPr fontId="2" type="noConversion"/>
  </si>
  <si>
    <t>宅配服务券20张</t>
    <phoneticPr fontId="2" type="noConversion"/>
  </si>
  <si>
    <t>幸运调整药丸</t>
    <phoneticPr fontId="2" type="noConversion"/>
  </si>
  <si>
    <t>六奖(随机抽一)</t>
    <phoneticPr fontId="2" type="noConversion"/>
  </si>
  <si>
    <t>逃命娃娃</t>
    <phoneticPr fontId="2" type="noConversion"/>
  </si>
  <si>
    <t>敏捷捣蛋药丸</t>
    <phoneticPr fontId="2" type="noConversion"/>
  </si>
  <si>
    <t>暴力娃娃</t>
    <phoneticPr fontId="2" type="noConversion"/>
  </si>
  <si>
    <t>敏捷调整药丸</t>
    <phoneticPr fontId="2" type="noConversion"/>
  </si>
  <si>
    <t>生命娃娃</t>
    <phoneticPr fontId="2" type="noConversion"/>
  </si>
  <si>
    <t>智慧捣蛋药丸</t>
    <phoneticPr fontId="2" type="noConversion"/>
  </si>
  <si>
    <t>肉垫娃娃</t>
    <phoneticPr fontId="2" type="noConversion"/>
  </si>
  <si>
    <t>智慧调整药丸</t>
    <phoneticPr fontId="2" type="noConversion"/>
  </si>
  <si>
    <t>法力娃娃</t>
    <phoneticPr fontId="2" type="noConversion"/>
  </si>
  <si>
    <t>魅力捣蛋药丸</t>
    <phoneticPr fontId="2" type="noConversion"/>
  </si>
  <si>
    <t>高级生命娃娃</t>
    <phoneticPr fontId="2" type="noConversion"/>
  </si>
  <si>
    <t>魅力调整药丸</t>
    <phoneticPr fontId="2" type="noConversion"/>
  </si>
  <si>
    <t>高级法力娃娃</t>
    <phoneticPr fontId="2" type="noConversion"/>
  </si>
  <si>
    <t>体质捣蛋药丸</t>
    <phoneticPr fontId="2" type="noConversion"/>
  </si>
  <si>
    <t>幻兽牢笼</t>
    <phoneticPr fontId="2" type="noConversion"/>
  </si>
  <si>
    <t>体质调整药丸</t>
    <phoneticPr fontId="2" type="noConversion"/>
  </si>
  <si>
    <t>宠物甜心糖</t>
    <phoneticPr fontId="2" type="noConversion"/>
  </si>
  <si>
    <t>捣蛋药丸</t>
    <phoneticPr fontId="2" type="noConversion"/>
  </si>
  <si>
    <t>宠物亲亲糖</t>
    <phoneticPr fontId="2" type="noConversion"/>
  </si>
  <si>
    <t>属性捣蛋药丸</t>
    <phoneticPr fontId="2" type="noConversion"/>
  </si>
  <si>
    <t>武器降级涂料</t>
    <phoneticPr fontId="2" type="noConversion"/>
  </si>
  <si>
    <t>属性调整药丸</t>
    <phoneticPr fontId="2" type="noConversion"/>
  </si>
  <si>
    <t>防具降级涂料</t>
    <phoneticPr fontId="2" type="noConversion"/>
  </si>
  <si>
    <t>四级封印石</t>
    <phoneticPr fontId="2" type="noConversion"/>
  </si>
  <si>
    <t>三级封印石</t>
    <phoneticPr fontId="2" type="noConversion"/>
  </si>
  <si>
    <t>三奖(随机抽一)</t>
    <phoneticPr fontId="2" type="noConversion"/>
  </si>
  <si>
    <t>宠物降级果汁</t>
    <phoneticPr fontId="2" type="noConversion"/>
  </si>
  <si>
    <t>医药箱</t>
    <phoneticPr fontId="2" type="noConversion"/>
  </si>
  <si>
    <t>耐用稳定剂</t>
    <phoneticPr fontId="2" type="noConversion"/>
  </si>
  <si>
    <t>便当盒</t>
    <phoneticPr fontId="2" type="noConversion"/>
  </si>
  <si>
    <t>属性稳定剂</t>
    <phoneticPr fontId="2" type="noConversion"/>
  </si>
  <si>
    <t>五奖(随机抽一)</t>
    <phoneticPr fontId="2" type="noConversion"/>
  </si>
  <si>
    <t>逃命娃娃(耐用度12)</t>
    <phoneticPr fontId="2" type="noConversion"/>
  </si>
  <si>
    <t>五级封印石</t>
    <phoneticPr fontId="2" type="noConversion"/>
  </si>
  <si>
    <t>暴力娃娃(耐用度12)</t>
    <phoneticPr fontId="2" type="noConversion"/>
  </si>
  <si>
    <t>二奖(随机抽一)</t>
    <phoneticPr fontId="2" type="noConversion"/>
  </si>
  <si>
    <t>宠物降级咖啡</t>
    <phoneticPr fontId="2" type="noConversion"/>
  </si>
  <si>
    <t>生命娃娃(耐用度20)</t>
    <phoneticPr fontId="2" type="noConversion"/>
  </si>
  <si>
    <t>生命核心</t>
    <phoneticPr fontId="2" type="noConversion"/>
  </si>
  <si>
    <t>肉垫娃娃(耐用度12)</t>
    <phoneticPr fontId="2" type="noConversion"/>
  </si>
  <si>
    <t>六级封印石</t>
    <phoneticPr fontId="2" type="noConversion"/>
  </si>
  <si>
    <t>法力娃娃(耐用度20)</t>
    <phoneticPr fontId="2" type="noConversion"/>
  </si>
  <si>
    <t>头奖(随机抽一)</t>
    <phoneticPr fontId="2" type="noConversion"/>
  </si>
  <si>
    <t>分子稳定剂</t>
    <phoneticPr fontId="2" type="noConversion"/>
  </si>
  <si>
    <t>市镇地下室</t>
  </si>
  <si>
    <t xml:space="preserve">伊利村 </t>
  </si>
  <si>
    <t>1~3</t>
    <phoneticPr fontId="2" type="noConversion"/>
  </si>
  <si>
    <t>史来姆迷宫2F</t>
    <phoneticPr fontId="2" type="noConversion"/>
  </si>
  <si>
    <t>遗迹地下13F</t>
  </si>
  <si>
    <t>第九级：古灵精怪集卡册</t>
    <phoneticPr fontId="2" type="noConversion"/>
  </si>
  <si>
    <t>古堡地下B2</t>
    <phoneticPr fontId="2" type="noConversion"/>
  </si>
  <si>
    <t>第五级：悠悠一族集卡册</t>
    <phoneticPr fontId="2" type="noConversion"/>
  </si>
  <si>
    <t>第六级：奇妙动物集卡册</t>
    <phoneticPr fontId="2" type="noConversion"/>
  </si>
  <si>
    <t>矮人山</t>
    <phoneticPr fontId="2" type="noConversion"/>
  </si>
  <si>
    <t>金属史来姆卡</t>
    <phoneticPr fontId="2" type="noConversion"/>
  </si>
  <si>
    <t>16~18</t>
    <phoneticPr fontId="2" type="noConversion"/>
  </si>
  <si>
    <t>幻兽卡片</t>
    <phoneticPr fontId="2" type="noConversion"/>
  </si>
  <si>
    <t>幻兽出没地点</t>
    <phoneticPr fontId="2" type="noConversion"/>
  </si>
  <si>
    <t>等级</t>
    <phoneticPr fontId="2" type="noConversion"/>
  </si>
  <si>
    <t>第七级：猛鬼夜行集卡册</t>
    <phoneticPr fontId="2" type="noConversion"/>
  </si>
  <si>
    <t>家族房间多了一个家族仓库，里面有40格空间，也就是原本一页的银行空间。小仓库是专属于家族成员个人的，并不是全家族的人一起共用的。当家族房间被回收后，家族仓库内所有的物品即充公。</t>
    <phoneticPr fontId="2" type="noConversion"/>
  </si>
  <si>
    <t>武器精炼</t>
    <phoneticPr fontId="2" type="noConversion"/>
  </si>
  <si>
    <t>命中类</t>
    <phoneticPr fontId="2" type="noConversion"/>
  </si>
  <si>
    <t>伤害力</t>
    <phoneticPr fontId="2" type="noConversion"/>
  </si>
  <si>
    <t>耐用度</t>
    <phoneticPr fontId="2" type="noConversion"/>
  </si>
  <si>
    <t>剑类</t>
    <phoneticPr fontId="2" type="noConversion"/>
  </si>
  <si>
    <t>低</t>
    <phoneticPr fontId="2" type="noConversion"/>
  </si>
  <si>
    <t>高</t>
    <phoneticPr fontId="2" type="noConversion"/>
  </si>
  <si>
    <t>中</t>
    <phoneticPr fontId="2" type="noConversion"/>
  </si>
  <si>
    <t>刀类</t>
    <phoneticPr fontId="2" type="noConversion"/>
  </si>
  <si>
    <t>斧类</t>
    <phoneticPr fontId="2" type="noConversion"/>
  </si>
  <si>
    <t>极低</t>
    <phoneticPr fontId="2" type="noConversion"/>
  </si>
  <si>
    <t>极高</t>
    <phoneticPr fontId="2" type="noConversion"/>
  </si>
  <si>
    <t>拳套</t>
    <phoneticPr fontId="2" type="noConversion"/>
  </si>
  <si>
    <t>算盘</t>
    <phoneticPr fontId="2" type="noConversion"/>
  </si>
  <si>
    <t>鞭子</t>
    <phoneticPr fontId="2" type="noConversion"/>
  </si>
  <si>
    <t>魔杖</t>
    <phoneticPr fontId="2" type="noConversion"/>
  </si>
  <si>
    <t>防具</t>
    <phoneticPr fontId="2" type="noConversion"/>
  </si>
  <si>
    <t>修士工会</t>
  </si>
  <si>
    <t>彩虹城旅人工会</t>
    <phoneticPr fontId="2" type="noConversion"/>
  </si>
  <si>
    <t>旅人工会</t>
  </si>
  <si>
    <t>书籍制作</t>
    <phoneticPr fontId="2" type="noConversion"/>
  </si>
  <si>
    <t>人物智力30</t>
    <phoneticPr fontId="2" type="noConversion"/>
  </si>
  <si>
    <t>乐器制作</t>
    <phoneticPr fontId="2" type="noConversion"/>
  </si>
  <si>
    <t>彩虹城旅人工会242,573</t>
    <phoneticPr fontId="2" type="noConversion"/>
  </si>
  <si>
    <t>青鸟城修士工会</t>
    <phoneticPr fontId="2" type="noConversion"/>
  </si>
  <si>
    <t>家族小头目人数增至4名，家族人数上限增至60名。新增家族保险箱。家族保险箱其实与家族垃圾桶的用法非常相近，不同的是保险箱多了密码的功能。家族大头目可以为保险箱设定密码，也可以随时更改密码；家族成员除非知道密码，否则是不能使用保险箱功能的。</t>
    <phoneticPr fontId="2" type="noConversion"/>
  </si>
  <si>
    <t>新增功能：家族仓库。七级家族需要人数到达40人，才能将集满卡片的虫虫百科集卡册交给家族管理人员，让家族等级升到第八级。第八级的家族会多出一个家族仓库可以使用。</t>
    <phoneticPr fontId="2" type="noConversion"/>
  </si>
  <si>
    <t>灵魂石</t>
  </si>
  <si>
    <t>新手铜剑</t>
  </si>
  <si>
    <t>青铜剑</t>
  </si>
  <si>
    <t>青铜阔剑</t>
  </si>
  <si>
    <t>精铜短剑</t>
  </si>
  <si>
    <t>战斗短剑</t>
  </si>
  <si>
    <t>铁长剑</t>
  </si>
  <si>
    <t>镶银长剑</t>
  </si>
  <si>
    <t>银剑</t>
  </si>
  <si>
    <t>青霜剑</t>
  </si>
  <si>
    <t>钢剑</t>
  </si>
  <si>
    <t>破甲钢剑</t>
  </si>
  <si>
    <t>白银钢剑</t>
  </si>
  <si>
    <t>蛇形剑</t>
  </si>
  <si>
    <t>合金短剑</t>
  </si>
  <si>
    <t>白金长剑</t>
  </si>
  <si>
    <t>斩铁剑</t>
  </si>
  <si>
    <t>钨钢屠龙剑</t>
  </si>
  <si>
    <t>有特殊属性的剑类武器</t>
  </si>
  <si>
    <t>见血短剑</t>
  </si>
  <si>
    <t>法眼短剑</t>
  </si>
  <si>
    <t>无锋短剑</t>
  </si>
  <si>
    <t>彩晶短剑</t>
  </si>
  <si>
    <t>绿宝短剑</t>
  </si>
  <si>
    <t>紫晴短剑</t>
  </si>
  <si>
    <t>紫玉长剑</t>
  </si>
  <si>
    <t>天空长剑</t>
  </si>
  <si>
    <t>黄石长剑</t>
  </si>
  <si>
    <t>银波长剑</t>
  </si>
  <si>
    <t>斐玉长剑</t>
  </si>
  <si>
    <t>黄晶宝剑</t>
  </si>
  <si>
    <t>翡翠宝剑</t>
  </si>
  <si>
    <t>紅光宝剑</t>
  </si>
  <si>
    <t>水波宝剑</t>
  </si>
  <si>
    <t>蛋白宝剑</t>
  </si>
  <si>
    <t>魔幻宝剑</t>
  </si>
  <si>
    <t>无瑕宝剑</t>
  </si>
  <si>
    <t>有洞月光细剑</t>
  </si>
  <si>
    <t>有洞陨星长剑</t>
  </si>
  <si>
    <t>有洞诺亚巨剑</t>
  </si>
  <si>
    <t>珍珠</t>
  </si>
  <si>
    <t>米拉兹金属</t>
  </si>
  <si>
    <t>剑类武器</t>
    <phoneticPr fontId="2" type="noConversion"/>
  </si>
  <si>
    <t>苏理米巨剑</t>
  </si>
  <si>
    <t>克艾隆巨剑</t>
  </si>
  <si>
    <t>神钢屠龙剑</t>
  </si>
  <si>
    <t>盖亚巨剑</t>
  </si>
  <si>
    <t>新手屠刀</t>
  </si>
  <si>
    <t>菜刀</t>
  </si>
  <si>
    <t>短刀</t>
  </si>
  <si>
    <t>单刀</t>
  </si>
  <si>
    <t>长刀</t>
  </si>
  <si>
    <t>弯刀</t>
  </si>
  <si>
    <t>厚背刀</t>
  </si>
  <si>
    <t>薄刃长刀</t>
  </si>
  <si>
    <t>长弯刀</t>
  </si>
  <si>
    <t>武士刀</t>
  </si>
  <si>
    <t>穿甲刃</t>
  </si>
  <si>
    <t>圆月弯刀</t>
  </si>
  <si>
    <t>柳叶刀</t>
  </si>
  <si>
    <t>快斩武士刀</t>
  </si>
  <si>
    <t>海盗弯刀</t>
  </si>
  <si>
    <t>钛钢穿甲刃</t>
  </si>
  <si>
    <t>钨钢霸王刀</t>
  </si>
  <si>
    <t>有特殊属性的刀类武器</t>
  </si>
  <si>
    <t>杀手刃</t>
  </si>
  <si>
    <t>毒杀刀</t>
  </si>
  <si>
    <t>妖刀</t>
  </si>
  <si>
    <t>冰焰刀</t>
  </si>
  <si>
    <t>死刑刀</t>
  </si>
  <si>
    <t>附魔砍刀</t>
  </si>
  <si>
    <t>斗争法刀</t>
  </si>
  <si>
    <t>落日法刀</t>
  </si>
  <si>
    <t>晴空法刀</t>
  </si>
  <si>
    <t>宁静法刀</t>
  </si>
  <si>
    <t>天青法刀</t>
  </si>
  <si>
    <t>金黄宝刀</t>
  </si>
  <si>
    <t>青绿宝刀</t>
  </si>
  <si>
    <t>血玉宝刀</t>
  </si>
  <si>
    <t>蓝晶宝刀</t>
  </si>
  <si>
    <t>白雪宝刀</t>
  </si>
  <si>
    <t>光明宝刀</t>
  </si>
  <si>
    <t>有洞卡拉长刃</t>
  </si>
  <si>
    <t>有洞米拉马刀</t>
  </si>
  <si>
    <t>有洞诺亚战刀</t>
  </si>
  <si>
    <t>新手斧头</t>
  </si>
  <si>
    <t>小手斧</t>
  </si>
  <si>
    <t>木斧</t>
  </si>
  <si>
    <t>手斧</t>
  </si>
  <si>
    <t>铜板斧</t>
  </si>
  <si>
    <t>轻战斧</t>
  </si>
  <si>
    <t>追风斧</t>
  </si>
  <si>
    <t>铁珠斧</t>
  </si>
  <si>
    <t>弯刃战斧</t>
  </si>
  <si>
    <t>钢斧</t>
  </si>
  <si>
    <t>双刃斧</t>
  </si>
  <si>
    <t>长柄战斧</t>
  </si>
  <si>
    <t>灰龙斧</t>
  </si>
  <si>
    <t>霸王斧</t>
  </si>
  <si>
    <t>合金双刃战斧</t>
  </si>
  <si>
    <t>超钛矮人斧</t>
  </si>
  <si>
    <t>钨钢破天斧</t>
  </si>
  <si>
    <t>有特殊属性的斧类武器</t>
  </si>
  <si>
    <t>金玉斧</t>
  </si>
  <si>
    <t>雷电斧</t>
  </si>
  <si>
    <t>青玉钢斧</t>
  </si>
  <si>
    <t>赤手斧</t>
  </si>
  <si>
    <t>流风斧</t>
  </si>
  <si>
    <t>枫叶斧</t>
  </si>
  <si>
    <t>巨齿宽刃斧</t>
  </si>
  <si>
    <t>碎骨穿心斧</t>
  </si>
  <si>
    <t>雷锤战斧</t>
  </si>
  <si>
    <t>高山双刃斧</t>
  </si>
  <si>
    <t>泰坦巨神斧</t>
  </si>
  <si>
    <t>厚土战斧</t>
  </si>
  <si>
    <t>巨木战斧</t>
  </si>
  <si>
    <t>烈火战斧</t>
  </si>
  <si>
    <t>洪水战斧</t>
  </si>
  <si>
    <t>锐金战斧</t>
  </si>
  <si>
    <t>黑夜战斧</t>
  </si>
  <si>
    <t>白昼战斧</t>
  </si>
  <si>
    <t>有洞龙牙斧</t>
  </si>
  <si>
    <t>有洞裂地斧</t>
  </si>
  <si>
    <t>有洞诺亚战斧</t>
  </si>
  <si>
    <t>苏理米破甲刃</t>
  </si>
  <si>
    <t>克艾隆破甲刃</t>
  </si>
  <si>
    <t>盖亚破甲刃</t>
  </si>
  <si>
    <t>神钢杀龙刃</t>
  </si>
  <si>
    <t>苏理米穿心斧</t>
  </si>
  <si>
    <t>克艾隆穿心斧</t>
  </si>
  <si>
    <t>盖亚穿心斧</t>
  </si>
  <si>
    <t>神钢灭龙斧</t>
  </si>
  <si>
    <t>青竹棍</t>
  </si>
  <si>
    <t>藤棍</t>
  </si>
  <si>
    <t>重藤棍</t>
  </si>
  <si>
    <t>轻木棍</t>
  </si>
  <si>
    <t>褐木棍</t>
  </si>
  <si>
    <t>散花棒</t>
  </si>
  <si>
    <t>柚木棍</t>
  </si>
  <si>
    <t>重木棒</t>
  </si>
  <si>
    <t>红桧棒</t>
  </si>
  <si>
    <t>血桧棒</t>
  </si>
  <si>
    <t>紫杉棒</t>
  </si>
  <si>
    <t>紫星棒</t>
  </si>
  <si>
    <t>破甲棒</t>
  </si>
  <si>
    <t>碎铁棒</t>
  </si>
  <si>
    <t>赤云棒</t>
  </si>
  <si>
    <t>太极权杖</t>
  </si>
  <si>
    <t>帝王权杖</t>
  </si>
  <si>
    <t>有特殊属性的棒类武器</t>
  </si>
  <si>
    <t>小术士魔棒</t>
  </si>
  <si>
    <t>紫晶棒</t>
  </si>
  <si>
    <t>弯形魔棒</t>
  </si>
  <si>
    <t>星钻法棒</t>
  </si>
  <si>
    <t>雷电魔棒</t>
  </si>
  <si>
    <t>檀木法杖</t>
  </si>
  <si>
    <t>仙灵之杖</t>
  </si>
  <si>
    <t>灿金魔棒</t>
  </si>
  <si>
    <t>红蛇魔棒</t>
  </si>
  <si>
    <t>骷髅魔棒</t>
  </si>
  <si>
    <t>六芒星棒</t>
  </si>
  <si>
    <t>轮转魔杖</t>
  </si>
  <si>
    <t>仙女棒</t>
  </si>
  <si>
    <t>黃晶魔棒</t>
  </si>
  <si>
    <t>绿晶魔棒</t>
  </si>
  <si>
    <t>红晶魔棒</t>
  </si>
  <si>
    <t>蓝晶魔棒</t>
  </si>
  <si>
    <t>白晶魔棒</t>
  </si>
  <si>
    <t>玄晶魔棒</t>
  </si>
  <si>
    <t>彩晶魔棒</t>
  </si>
  <si>
    <t>有洞七彩魔杖</t>
  </si>
  <si>
    <t>有洞晶石法杖</t>
  </si>
  <si>
    <t>米兹拉金属</t>
  </si>
  <si>
    <t>有洞天杉法杖</t>
  </si>
  <si>
    <t>黑铁法杖</t>
  </si>
  <si>
    <t>极光法杖</t>
  </si>
  <si>
    <t>幽魂法杖</t>
  </si>
  <si>
    <t>灭天神杖</t>
  </si>
  <si>
    <t>棒类武器</t>
    <phoneticPr fontId="2" type="noConversion"/>
  </si>
  <si>
    <t>新手算盘</t>
  </si>
  <si>
    <t>初级算盘</t>
  </si>
  <si>
    <t>铜算盘</t>
  </si>
  <si>
    <t>白铜算盘</t>
  </si>
  <si>
    <t>铁算盘</t>
  </si>
  <si>
    <t>神佑算盘</t>
  </si>
  <si>
    <t>银光算盘</t>
  </si>
  <si>
    <t>红银算盘</t>
  </si>
  <si>
    <t>金亮算盘</t>
  </si>
  <si>
    <t>高级算盘</t>
  </si>
  <si>
    <t>紫光算盘</t>
  </si>
  <si>
    <t>精制算盘</t>
  </si>
  <si>
    <t>黑钢算盘</t>
  </si>
  <si>
    <t>暗夜算盘</t>
  </si>
  <si>
    <t>白金算盘</t>
  </si>
  <si>
    <t>平安算盘</t>
  </si>
  <si>
    <t>祝福算盘</t>
  </si>
  <si>
    <t>有特殊属性的算盘武器</t>
  </si>
  <si>
    <t>猫眼算盘</t>
  </si>
  <si>
    <t>绿光算盘</t>
  </si>
  <si>
    <t>七彩算盘</t>
  </si>
  <si>
    <t>天青算盘</t>
  </si>
  <si>
    <t>黃珀算盘</t>
  </si>
  <si>
    <t>玛瑙算盘</t>
  </si>
  <si>
    <t>幸运算盘</t>
  </si>
  <si>
    <t>大地算盘</t>
  </si>
  <si>
    <t>火焰算盘</t>
  </si>
  <si>
    <t>疾风算盘</t>
  </si>
  <si>
    <t>灿烂算盘</t>
  </si>
  <si>
    <t>智慧算盘</t>
  </si>
  <si>
    <t>光耀算盘</t>
  </si>
  <si>
    <t>红光算盘</t>
  </si>
  <si>
    <t>湛蓝算盘</t>
  </si>
  <si>
    <t>金光算盘</t>
  </si>
  <si>
    <t>青玉算盘</t>
  </si>
  <si>
    <t>深迥算盘</t>
  </si>
  <si>
    <t>有洞神秘算盘</t>
  </si>
  <si>
    <t>有洞晶石算盘</t>
  </si>
  <si>
    <t>有洞玫瑰算盘</t>
  </si>
  <si>
    <t>魔光算盘</t>
  </si>
  <si>
    <t>神光算盘</t>
  </si>
  <si>
    <t>算盘武器</t>
    <phoneticPr fontId="2" type="noConversion"/>
  </si>
  <si>
    <t>鞭子武器</t>
  </si>
  <si>
    <t>羊皮鞭</t>
  </si>
  <si>
    <t>羊皮</t>
  </si>
  <si>
    <t>好用皮鞭</t>
  </si>
  <si>
    <t>牛皮鞭</t>
  </si>
  <si>
    <t>牛皮</t>
  </si>
  <si>
    <t>黄牛鞭</t>
  </si>
  <si>
    <t>白木皮鞭</t>
  </si>
  <si>
    <t>掌仙鞭</t>
  </si>
  <si>
    <t>柚木鞭</t>
  </si>
  <si>
    <t>鹿皮</t>
  </si>
  <si>
    <t>金鹿鞭</t>
  </si>
  <si>
    <t>红桧鞭</t>
  </si>
  <si>
    <t>貂莲皮鞭</t>
  </si>
  <si>
    <t>黑续鞭</t>
  </si>
  <si>
    <t>黑牛皮鞭</t>
  </si>
  <si>
    <t>暗夜鞭</t>
  </si>
  <si>
    <t>铁罗鞭</t>
  </si>
  <si>
    <t>噩魂鞭</t>
  </si>
  <si>
    <t>月虎鞭</t>
  </si>
  <si>
    <t>通天皮鞭</t>
  </si>
  <si>
    <t>有特殊属性的鞭子武器</t>
  </si>
  <si>
    <t>紫晶皮鞭</t>
  </si>
  <si>
    <t>珊瑚皮鞭</t>
  </si>
  <si>
    <t>猫眼鞭</t>
  </si>
  <si>
    <t>绿光皮鞭</t>
  </si>
  <si>
    <t>七彩皮鞭</t>
  </si>
  <si>
    <t>琥珀鞭</t>
  </si>
  <si>
    <t>蓝天皮鞭</t>
  </si>
  <si>
    <t>玛瑙皮鞭</t>
  </si>
  <si>
    <t>好运皮鞭</t>
  </si>
  <si>
    <t>强壮皮鞭</t>
  </si>
  <si>
    <t>力量皮鞭</t>
  </si>
  <si>
    <t>快闪皮鞭</t>
  </si>
  <si>
    <t>诱惑皮鞭</t>
  </si>
  <si>
    <t>智慧鞭</t>
  </si>
  <si>
    <t>坚硬皮鞭</t>
  </si>
  <si>
    <t>红波皮鞭</t>
  </si>
  <si>
    <t>蓝铁鞭</t>
  </si>
  <si>
    <t>黄虎皮鞭</t>
  </si>
  <si>
    <t>青龙鞭</t>
  </si>
  <si>
    <t>绿鳞鞭</t>
  </si>
  <si>
    <t>有洞七色鞭</t>
  </si>
  <si>
    <t>有洞幻龙鞭</t>
  </si>
  <si>
    <t>有洞训魔鞭</t>
  </si>
  <si>
    <t>伏魔鞭</t>
  </si>
  <si>
    <t>诛神鞭</t>
  </si>
  <si>
    <t>拳套武器</t>
  </si>
  <si>
    <t>新手拳套</t>
  </si>
  <si>
    <t>初级拳套</t>
  </si>
  <si>
    <t>毛料拳套</t>
  </si>
  <si>
    <t>羊皮拳套</t>
  </si>
  <si>
    <t>棉布拳套</t>
  </si>
  <si>
    <t>牛皮拳套</t>
  </si>
  <si>
    <t>鹿皮拳套</t>
  </si>
  <si>
    <t>柔软拳套</t>
  </si>
  <si>
    <t>貂皮拳套</t>
  </si>
  <si>
    <t>高级拳套</t>
  </si>
  <si>
    <t>犀牛拳套</t>
  </si>
  <si>
    <t>精致拳套</t>
  </si>
  <si>
    <t>凶鳄拳套</t>
  </si>
  <si>
    <t>绒布拳套</t>
  </si>
  <si>
    <t>蚕丝拳套</t>
  </si>
  <si>
    <t>虎纹拳套</t>
  </si>
  <si>
    <t>龙拳</t>
  </si>
  <si>
    <t>有特殊属性的拳套武器</t>
  </si>
  <si>
    <t>紫光拳套</t>
  </si>
  <si>
    <t>流动拳套</t>
  </si>
  <si>
    <t>猫眼拳套</t>
  </si>
  <si>
    <t>绿光拳套</t>
  </si>
  <si>
    <t>七彩拳套</t>
  </si>
  <si>
    <t>黃珀拳套</t>
  </si>
  <si>
    <t>天青拳套</t>
  </si>
  <si>
    <t>玛瑙拳套</t>
  </si>
  <si>
    <t>幸运拳套</t>
  </si>
  <si>
    <t>体质拳套</t>
  </si>
  <si>
    <t>力量拳套</t>
  </si>
  <si>
    <t>魅力拳套</t>
  </si>
  <si>
    <t>迅风拳套</t>
  </si>
  <si>
    <t>智慧拳套</t>
  </si>
  <si>
    <t>坚强拳套</t>
  </si>
  <si>
    <t>红光拳套</t>
  </si>
  <si>
    <t>蓝虎拳套</t>
  </si>
  <si>
    <t>金虎拳套</t>
  </si>
  <si>
    <t>青龙拳套</t>
  </si>
  <si>
    <t>霸龙拳套</t>
  </si>
  <si>
    <t>有洞龙武拳套</t>
  </si>
  <si>
    <t>有洞龙纹拳套</t>
  </si>
  <si>
    <t>有洞玫瑰拳套</t>
  </si>
  <si>
    <t>魔龙拳套</t>
  </si>
  <si>
    <t>神龙拳套</t>
  </si>
  <si>
    <t>头盔制作</t>
  </si>
  <si>
    <t>小圆盔</t>
  </si>
  <si>
    <t>青铜盔</t>
  </si>
  <si>
    <t>圆盔</t>
  </si>
  <si>
    <t>铜盔</t>
  </si>
  <si>
    <t>铁盔</t>
  </si>
  <si>
    <t>铁面具</t>
  </si>
  <si>
    <t>银盔</t>
  </si>
  <si>
    <t>角盔</t>
  </si>
  <si>
    <t>钢盔</t>
  </si>
  <si>
    <t>白银角盔</t>
  </si>
  <si>
    <t>武士面具</t>
  </si>
  <si>
    <t>精钢战盔</t>
  </si>
  <si>
    <t>虎牙战盔</t>
  </si>
  <si>
    <t>黃金角盔</t>
  </si>
  <si>
    <t>犀角</t>
  </si>
  <si>
    <t>白金战盔</t>
  </si>
  <si>
    <t>龙鳞战盔</t>
  </si>
  <si>
    <t>覆面合金盔</t>
  </si>
  <si>
    <t>有特殊属性的头盔</t>
  </si>
  <si>
    <t>勇气头盔</t>
  </si>
  <si>
    <t>海洋面具</t>
  </si>
  <si>
    <t>学习头盔</t>
  </si>
  <si>
    <t>有洞卡拉战盔</t>
  </si>
  <si>
    <t>有洞米拉头盔</t>
  </si>
  <si>
    <t>有洞诺亚巨盔</t>
  </si>
  <si>
    <t>苏理米战神盔</t>
  </si>
  <si>
    <t>克艾隆战神盔</t>
  </si>
  <si>
    <t>盖亚战神盔</t>
  </si>
  <si>
    <t>帽类制作</t>
  </si>
  <si>
    <t>羊毛帽</t>
  </si>
  <si>
    <t>工作帽</t>
  </si>
  <si>
    <t>小圆帽</t>
  </si>
  <si>
    <t>尖长帽</t>
  </si>
  <si>
    <t>厚布帽</t>
  </si>
  <si>
    <t>牛皮帽</t>
  </si>
  <si>
    <t>皮盔</t>
  </si>
  <si>
    <t>硬皮帽</t>
  </si>
  <si>
    <t>鹿皮帽</t>
  </si>
  <si>
    <t>粗皮方帽</t>
  </si>
  <si>
    <t>复合硬皮帽</t>
  </si>
  <si>
    <t>女王之冠</t>
  </si>
  <si>
    <t>大法师之帽</t>
  </si>
  <si>
    <t>虎威帽</t>
  </si>
  <si>
    <t>避兽帽</t>
  </si>
  <si>
    <t>龙鳞皮帽</t>
  </si>
  <si>
    <t>龙之冠</t>
  </si>
  <si>
    <t>有特殊属性的帽类</t>
  </si>
  <si>
    <t>魔力冠</t>
  </si>
  <si>
    <t>水晶法冠</t>
  </si>
  <si>
    <t>玲珑覆面</t>
  </si>
  <si>
    <t>珠玉覆面</t>
  </si>
  <si>
    <t>大法师之冠</t>
  </si>
  <si>
    <t>智者之冠</t>
  </si>
  <si>
    <t>迷惑之冠</t>
  </si>
  <si>
    <t>皇冠</t>
  </si>
  <si>
    <t>有洞避邪羽冠</t>
  </si>
  <si>
    <t>有洞晶石法冠</t>
  </si>
  <si>
    <t>有洞玫瑰头环</t>
  </si>
  <si>
    <t>妖邪头环</t>
  </si>
  <si>
    <t>元素头环</t>
  </si>
  <si>
    <t>魂法头环</t>
  </si>
  <si>
    <t>手套制作</t>
  </si>
  <si>
    <t>羊毛手套</t>
  </si>
  <si>
    <t>软皮手套</t>
  </si>
  <si>
    <t>青铜手套</t>
  </si>
  <si>
    <t>工作手套</t>
  </si>
  <si>
    <t>铜手套</t>
  </si>
  <si>
    <t>旅人手套</t>
  </si>
  <si>
    <t>铁手套</t>
  </si>
  <si>
    <t>镶皮手套</t>
  </si>
  <si>
    <t>防御手套</t>
  </si>
  <si>
    <t>精钢手套</t>
  </si>
  <si>
    <t>貂皮手套</t>
  </si>
  <si>
    <t>鳄皮手套</t>
  </si>
  <si>
    <t>合金手套</t>
  </si>
  <si>
    <t>虎皮手套</t>
  </si>
  <si>
    <t>钛钢手套</t>
  </si>
  <si>
    <t>鈦合金</t>
  </si>
  <si>
    <t>钨金手套</t>
  </si>
  <si>
    <t>龙鳞手套</t>
  </si>
  <si>
    <t>有特殊属性的手套</t>
  </si>
  <si>
    <t>魔术手套</t>
  </si>
  <si>
    <t>神奇手套</t>
  </si>
  <si>
    <t>元素手套</t>
  </si>
  <si>
    <t>有洞龙武护手</t>
  </si>
  <si>
    <t>有洞龙纹护手</t>
  </si>
  <si>
    <t>有洞龙牙护手</t>
  </si>
  <si>
    <t>苏理米护手</t>
  </si>
  <si>
    <t>克艾隆护手</t>
  </si>
  <si>
    <t>盖亚护手</t>
  </si>
  <si>
    <t>盾牌制作</t>
  </si>
  <si>
    <t>藤盾</t>
  </si>
  <si>
    <t>木盾</t>
  </si>
  <si>
    <t>小圆盾</t>
  </si>
  <si>
    <t>钢盾</t>
  </si>
  <si>
    <t>方盾</t>
  </si>
  <si>
    <t>银盾</t>
  </si>
  <si>
    <t>骑士盾</t>
  </si>
  <si>
    <t>筝盾</t>
  </si>
  <si>
    <t>塔形盾</t>
  </si>
  <si>
    <t>钢铁塔盾</t>
  </si>
  <si>
    <t>防身巨盾</t>
  </si>
  <si>
    <t>银镜盾</t>
  </si>
  <si>
    <t>合金盾</t>
  </si>
  <si>
    <t>白金盾</t>
  </si>
  <si>
    <t>鱷鱼皮</t>
  </si>
  <si>
    <t>虎啸盾</t>
  </si>
  <si>
    <t>钛钢盾</t>
  </si>
  <si>
    <t>龙吟盾</t>
  </si>
  <si>
    <t>有特殊属性的盾牌</t>
  </si>
  <si>
    <t>黄宝石吸收盾</t>
  </si>
  <si>
    <t>绿宝石吸收盾</t>
  </si>
  <si>
    <t>红宝石吸收盾</t>
  </si>
  <si>
    <t>蓝宝石吸收盾</t>
  </si>
  <si>
    <t>白宝石吸收盾</t>
  </si>
  <si>
    <t>黑曜石吸收盾</t>
  </si>
  <si>
    <t>钻石吸收盾</t>
  </si>
  <si>
    <t>有洞彩虹木盾</t>
  </si>
  <si>
    <t>有洞晶石盾</t>
  </si>
  <si>
    <t>有洞诺亚晶盾</t>
  </si>
  <si>
    <t>黑铁巨盾</t>
  </si>
  <si>
    <t>光虹方盾</t>
  </si>
  <si>
    <t>幽魂晶石盾</t>
  </si>
  <si>
    <t>鞋类制作</t>
  </si>
  <si>
    <t>布鞋</t>
  </si>
  <si>
    <t>软皮鞋</t>
  </si>
  <si>
    <t>铜头靴</t>
  </si>
  <si>
    <t>硬皮鞋</t>
  </si>
  <si>
    <t>镶皮长靴</t>
  </si>
  <si>
    <t>鹿皮鞋</t>
  </si>
  <si>
    <t>博铁靴</t>
  </si>
  <si>
    <t>貂皮鞋</t>
  </si>
  <si>
    <t>钢靴</t>
  </si>
  <si>
    <t>犀牛皮鞋</t>
  </si>
  <si>
    <t>合金靴</t>
  </si>
  <si>
    <t>鳄皮鞋</t>
  </si>
  <si>
    <t>白金靴</t>
  </si>
  <si>
    <t>虎跃鞋</t>
  </si>
  <si>
    <t>钛钢靴</t>
  </si>
  <si>
    <t>龙鳞靴</t>
  </si>
  <si>
    <t>钨钢靴</t>
  </si>
  <si>
    <t>有特殊属性的鞋类</t>
  </si>
  <si>
    <t>矮人战斗靴</t>
  </si>
  <si>
    <t>小丑靴</t>
  </si>
  <si>
    <t>精灵魔法靴</t>
  </si>
  <si>
    <t>漂浮靴</t>
  </si>
  <si>
    <t>有洞羽翼长靴</t>
  </si>
  <si>
    <t>有洞米拉战靴</t>
  </si>
  <si>
    <t>有洞诺亚长靴</t>
  </si>
  <si>
    <t>苏理米战神靴</t>
  </si>
  <si>
    <t>克艾隆战神靴</t>
  </si>
  <si>
    <t>盖亚战神靴</t>
  </si>
  <si>
    <t>衣袍制作</t>
  </si>
  <si>
    <t>旅人服</t>
  </si>
  <si>
    <t>修行袍</t>
  </si>
  <si>
    <t>软布袍</t>
  </si>
  <si>
    <t>僧侣袍</t>
  </si>
  <si>
    <t>金麻衣</t>
  </si>
  <si>
    <t>咒法衣</t>
  </si>
  <si>
    <t>梦奇地31区</t>
    <phoneticPr fontId="2" type="noConversion"/>
  </si>
  <si>
    <t>梦奇地51区</t>
    <phoneticPr fontId="2" type="noConversion"/>
  </si>
  <si>
    <t>梦奇地41区</t>
    <phoneticPr fontId="2" type="noConversion"/>
  </si>
  <si>
    <t>梦奇地91区</t>
    <phoneticPr fontId="2" type="noConversion"/>
  </si>
  <si>
    <t>梦奇地71区</t>
    <phoneticPr fontId="2" type="noConversion"/>
  </si>
  <si>
    <t>梦奇地81区</t>
    <phoneticPr fontId="2" type="noConversion"/>
  </si>
  <si>
    <t>梦奇地61区</t>
    <phoneticPr fontId="2" type="noConversion"/>
  </si>
  <si>
    <t>产品名</t>
  </si>
  <si>
    <t>装备等级</t>
  </si>
  <si>
    <t>属性数量</t>
  </si>
  <si>
    <t>可能效果</t>
  </si>
  <si>
    <t>数值</t>
  </si>
  <si>
    <t>随机属性</t>
  </si>
  <si>
    <t>力量</t>
  </si>
  <si>
    <t>敏捷</t>
  </si>
  <si>
    <t>体质</t>
  </si>
  <si>
    <t>智慧</t>
  </si>
  <si>
    <t>魅力</t>
  </si>
  <si>
    <t>运气</t>
  </si>
  <si>
    <t>土抗性</t>
  </si>
  <si>
    <t>木抗性</t>
  </si>
  <si>
    <t>火抗性</t>
  </si>
  <si>
    <t>水抗性</t>
  </si>
  <si>
    <t>金抗性</t>
  </si>
  <si>
    <t>光抗性</t>
  </si>
  <si>
    <t>逃跑成功率</t>
  </si>
  <si>
    <t>法力上限</t>
  </si>
  <si>
    <t>随机技能</t>
  </si>
  <si>
    <t>随机旅人技能</t>
  </si>
  <si>
    <t>生命上限</t>
  </si>
  <si>
    <t>随机防御属性</t>
  </si>
  <si>
    <t>土</t>
  </si>
  <si>
    <t>木</t>
  </si>
  <si>
    <t>火</t>
  </si>
  <si>
    <t>水</t>
  </si>
  <si>
    <t>金</t>
  </si>
  <si>
    <t>光</t>
  </si>
  <si>
    <t>随机战士技能</t>
  </si>
  <si>
    <t>食品提升</t>
  </si>
  <si>
    <t>补抓幻兽机率</t>
  </si>
  <si>
    <t>药效提升</t>
  </si>
  <si>
    <t>降低遇敌机率</t>
  </si>
  <si>
    <t>随机攻击属性</t>
  </si>
  <si>
    <t>战士冲击技能</t>
  </si>
  <si>
    <t>战士盾技技能</t>
  </si>
  <si>
    <t>毒性消散率</t>
  </si>
  <si>
    <t>生命回复速度</t>
  </si>
  <si>
    <t>不会饥饿</t>
  </si>
  <si>
    <t>精灵魔法鞋</t>
  </si>
  <si>
    <t>法力回复速度</t>
  </si>
  <si>
    <t>飘浮靴</t>
  </si>
  <si>
    <t>刀类武器</t>
    <phoneticPr fontId="2" type="noConversion"/>
  </si>
  <si>
    <t>斧类武器</t>
    <phoneticPr fontId="2" type="noConversion"/>
  </si>
  <si>
    <t>石像剑妖</t>
  </si>
  <si>
    <t>滑水鼬</t>
  </si>
  <si>
    <t>穴居猕猴</t>
  </si>
  <si>
    <t>神秘宝箱</t>
  </si>
  <si>
    <t>沙漠地城B1</t>
  </si>
  <si>
    <t>白银剑妖</t>
  </si>
  <si>
    <t>海底宝箱</t>
  </si>
  <si>
    <t>沙漠地城B2</t>
  </si>
  <si>
    <t>咬人箱</t>
  </si>
  <si>
    <t>古堡地下B3</t>
  </si>
  <si>
    <t>地底宝箱</t>
  </si>
  <si>
    <t>玄武蜂</t>
  </si>
  <si>
    <t>猜谜箱</t>
  </si>
  <si>
    <t>古堡地下B2</t>
  </si>
  <si>
    <t>地区名称</t>
  </si>
  <si>
    <t>幻兽等级</t>
  </si>
  <si>
    <t>掉宝资料</t>
  </si>
  <si>
    <t>大盗巢穴B2</t>
  </si>
  <si>
    <t>孔雀石原石、敏捷宝石、魅力宝石、防御宝石</t>
  </si>
  <si>
    <t>31~38</t>
  </si>
  <si>
    <t>41~47</t>
  </si>
  <si>
    <t>46~50</t>
  </si>
  <si>
    <t>冥界洞窟B2</t>
  </si>
  <si>
    <t>51~55</t>
  </si>
  <si>
    <t>56~60</t>
  </si>
  <si>
    <t>贪心哥布林</t>
    <phoneticPr fontId="2" type="noConversion"/>
  </si>
  <si>
    <t>发呆哥布林</t>
    <phoneticPr fontId="2" type="noConversion"/>
  </si>
  <si>
    <t>蓝波哥布林</t>
    <phoneticPr fontId="2" type="noConversion"/>
  </si>
  <si>
    <t>大地哥布林</t>
    <phoneticPr fontId="2" type="noConversion"/>
  </si>
  <si>
    <t>勇敢哥布林</t>
    <phoneticPr fontId="2" type="noConversion"/>
  </si>
  <si>
    <t>狡诈哥布林</t>
    <phoneticPr fontId="2" type="noConversion"/>
  </si>
  <si>
    <t>害羞哥布林</t>
    <phoneticPr fontId="2" type="noConversion"/>
  </si>
  <si>
    <t>黑刚石</t>
    <phoneticPr fontId="2" type="noConversion"/>
  </si>
  <si>
    <t>邪恶来姆</t>
    <phoneticPr fontId="2" type="noConversion"/>
  </si>
  <si>
    <t>小小木精灵</t>
    <phoneticPr fontId="2" type="noConversion"/>
  </si>
  <si>
    <t>小小水Q兽</t>
    <phoneticPr fontId="2" type="noConversion"/>
  </si>
  <si>
    <t>超合金机器人</t>
    <phoneticPr fontId="2" type="noConversion"/>
  </si>
  <si>
    <t>火烧草包</t>
    <phoneticPr fontId="2" type="noConversion"/>
  </si>
  <si>
    <t>37~42</t>
  </si>
  <si>
    <t>力量宝石、体质宝石、求婚戒台</t>
  </si>
  <si>
    <t>61~72</t>
  </si>
  <si>
    <t>66~70</t>
  </si>
  <si>
    <t>66~72</t>
  </si>
  <si>
    <t>71~75</t>
  </si>
  <si>
    <t>76~80</t>
  </si>
  <si>
    <t>81~90</t>
  </si>
  <si>
    <t>瓦尼岛</t>
  </si>
  <si>
    <t>67~70</t>
  </si>
  <si>
    <t>74~76</t>
  </si>
  <si>
    <t>76~78</t>
  </si>
  <si>
    <t>78~80</t>
  </si>
  <si>
    <t>88~90</t>
  </si>
  <si>
    <t>命中宝石</t>
  </si>
  <si>
    <t>41~45</t>
  </si>
  <si>
    <t>黑森林之北</t>
  </si>
  <si>
    <t>黑森林之南</t>
  </si>
  <si>
    <t>罐头地道B1</t>
  </si>
  <si>
    <t>51~60</t>
  </si>
  <si>
    <t>61~70</t>
  </si>
  <si>
    <t>71~80</t>
  </si>
  <si>
    <t>遗迹地下20F</t>
  </si>
  <si>
    <t>遗迹地下22F</t>
  </si>
  <si>
    <t>遗迹地下21F</t>
  </si>
  <si>
    <t>遗迹地下18F</t>
  </si>
  <si>
    <t>遗迹地下12F</t>
  </si>
  <si>
    <t>遗迹地下15F</t>
  </si>
  <si>
    <t>遗迹地下16F</t>
  </si>
  <si>
    <t>遗迹地下17F</t>
  </si>
  <si>
    <t>遗迹地下4F</t>
  </si>
  <si>
    <t>遗迹地下19F</t>
  </si>
  <si>
    <t>遗迹地下5F</t>
  </si>
  <si>
    <t>魅力宝石</t>
  </si>
  <si>
    <t>防御宝石</t>
  </si>
  <si>
    <t>暗Q兽</t>
  </si>
  <si>
    <t>绿绿大可兽</t>
  </si>
  <si>
    <t>黑心大可兽</t>
  </si>
  <si>
    <t>遗迹地下11F</t>
  </si>
  <si>
    <t>光云</t>
  </si>
  <si>
    <t>金怕啃</t>
  </si>
  <si>
    <t>白目抠拉</t>
  </si>
  <si>
    <t>神气狮鸠</t>
  </si>
  <si>
    <t>姜饼人</t>
    <phoneticPr fontId="2" type="noConversion"/>
  </si>
  <si>
    <t>遗迹地下7F</t>
  </si>
  <si>
    <t>遗迹地下6F</t>
  </si>
  <si>
    <t>遗迹地下3F</t>
  </si>
  <si>
    <t>遗迹地下9F</t>
  </si>
  <si>
    <t>神圣宝箱</t>
  </si>
  <si>
    <t>普诺特古堡</t>
  </si>
  <si>
    <t>害羞哥布林</t>
  </si>
  <si>
    <t>古堡地下B1</t>
  </si>
  <si>
    <t>发呆哥布林</t>
  </si>
  <si>
    <t>丛林剑妖</t>
  </si>
  <si>
    <t>云雀</t>
  </si>
  <si>
    <t>苹果汁</t>
  </si>
  <si>
    <t>蓝天剑妖</t>
  </si>
  <si>
    <t>绿宝石原石、红宝石原石、武器降级涂料、幻兽模具</t>
    <phoneticPr fontId="2" type="noConversion"/>
  </si>
  <si>
    <t>81~85</t>
  </si>
  <si>
    <t>妖魔石原石、属性调整药丸</t>
    <phoneticPr fontId="2" type="noConversion"/>
  </si>
  <si>
    <t>86~90</t>
  </si>
  <si>
    <t>91~95</t>
  </si>
  <si>
    <t>96~100</t>
  </si>
  <si>
    <t>灵魂石原石、防具降级涂料</t>
    <phoneticPr fontId="2" type="noConversion"/>
  </si>
  <si>
    <t>爱丽丝梦游仙境</t>
    <phoneticPr fontId="2" type="noConversion"/>
  </si>
  <si>
    <t>1~5</t>
    <phoneticPr fontId="2" type="noConversion"/>
  </si>
  <si>
    <t>西迷路森林</t>
    <phoneticPr fontId="2" type="noConversion"/>
  </si>
  <si>
    <t>16~20</t>
    <phoneticPr fontId="2" type="noConversion"/>
  </si>
  <si>
    <t>梦想花园</t>
    <phoneticPr fontId="2" type="noConversion"/>
  </si>
  <si>
    <t>金澄水晶</t>
    <phoneticPr fontId="2" type="noConversion"/>
  </si>
  <si>
    <t>61~65</t>
    <phoneticPr fontId="2" type="noConversion"/>
  </si>
  <si>
    <t>莫名其妙花丛</t>
    <phoneticPr fontId="2" type="noConversion"/>
  </si>
  <si>
    <t>绿光水晶、火焰水晶</t>
    <phoneticPr fontId="2" type="noConversion"/>
  </si>
  <si>
    <t>门之迷宫B2</t>
    <phoneticPr fontId="2" type="noConversion"/>
  </si>
  <si>
    <t>发光水晶</t>
    <phoneticPr fontId="2" type="noConversion"/>
  </si>
  <si>
    <t>11~15</t>
    <phoneticPr fontId="2" type="noConversion"/>
  </si>
  <si>
    <t>黝黑水晶</t>
    <phoneticPr fontId="2" type="noConversion"/>
  </si>
  <si>
    <t>淡蓝水晶、求婚戒台</t>
    <phoneticPr fontId="2" type="noConversion"/>
  </si>
  <si>
    <t>东迷路森林</t>
    <phoneticPr fontId="2" type="noConversion"/>
  </si>
  <si>
    <t>北猫咪森林</t>
    <phoneticPr fontId="2" type="noConversion"/>
  </si>
  <si>
    <t>南猫咪森林</t>
    <phoneticPr fontId="2" type="noConversion"/>
  </si>
  <si>
    <t>白银种子、黄金种子</t>
    <phoneticPr fontId="2" type="noConversion"/>
  </si>
  <si>
    <t>37~44</t>
    <phoneticPr fontId="2" type="noConversion"/>
  </si>
  <si>
    <t>猫眼石原石、命中宝石、智慧宝石</t>
    <phoneticPr fontId="2" type="noConversion"/>
  </si>
  <si>
    <t>21~27</t>
  </si>
  <si>
    <t>26~32</t>
  </si>
  <si>
    <t>娃娃盒</t>
    <phoneticPr fontId="2" type="noConversion"/>
  </si>
  <si>
    <t>36~45</t>
    <phoneticPr fontId="2" type="noConversion"/>
  </si>
  <si>
    <t>玛瑙原石、暗稳</t>
    <phoneticPr fontId="2" type="noConversion"/>
  </si>
  <si>
    <t>玛瑙原石、黄宝石原石、土稳、忘情水</t>
    <phoneticPr fontId="2" type="noConversion"/>
  </si>
  <si>
    <t>遗跡地下1F</t>
  </si>
  <si>
    <t>遗跡地下2F</t>
  </si>
  <si>
    <t>遗跡地下6F</t>
  </si>
  <si>
    <t>遗跡地下7F</t>
  </si>
  <si>
    <t>遗跡地下8F</t>
  </si>
  <si>
    <t>遗跡地下9F</t>
  </si>
  <si>
    <t>遗跡地下11F</t>
  </si>
  <si>
    <t>遗跡地下12F</t>
  </si>
  <si>
    <t>遗跡地下13F</t>
  </si>
  <si>
    <t>遗跡地下14F</t>
  </si>
  <si>
    <t>遗跡地下15F</t>
  </si>
  <si>
    <t>遗跡地下16F</t>
  </si>
  <si>
    <t>遗跡地下17F</t>
  </si>
  <si>
    <t>70~72</t>
  </si>
  <si>
    <t>72~74</t>
  </si>
  <si>
    <t>80~82</t>
  </si>
  <si>
    <t>遗跡地下18F</t>
  </si>
  <si>
    <t>遗跡地下19F</t>
  </si>
  <si>
    <t>遗跡地下20F</t>
  </si>
  <si>
    <t>遗跡地下21F</t>
  </si>
  <si>
    <t>遗跡地下22F</t>
  </si>
  <si>
    <t>84~86</t>
  </si>
  <si>
    <t>98~100</t>
  </si>
  <si>
    <t>100~102</t>
  </si>
  <si>
    <t>102~104</t>
  </si>
  <si>
    <t>104~106</t>
  </si>
  <si>
    <t>106~108</t>
  </si>
  <si>
    <t>绿光水晶、淡蓝水晶、火焰水晶</t>
    <phoneticPr fontId="2" type="noConversion"/>
  </si>
  <si>
    <t>96~98</t>
    <phoneticPr fontId="2" type="noConversion"/>
  </si>
  <si>
    <t>宠物亲亲糖、银行贵宾卡</t>
    <phoneticPr fontId="2" type="noConversion"/>
  </si>
  <si>
    <t>玛瑙原石、水稳</t>
    <phoneticPr fontId="2" type="noConversion"/>
  </si>
  <si>
    <t>绿宝石原石、青铜种子、暗稳</t>
    <phoneticPr fontId="2" type="noConversion"/>
  </si>
  <si>
    <t>86~90</t>
    <phoneticPr fontId="2" type="noConversion"/>
  </si>
  <si>
    <t>91~95</t>
    <phoneticPr fontId="2" type="noConversion"/>
  </si>
  <si>
    <t>巨神木</t>
  </si>
  <si>
    <t>古松</t>
  </si>
  <si>
    <t>灵桧</t>
  </si>
  <si>
    <t>凤凰羽毛</t>
  </si>
  <si>
    <t>凤凰爪</t>
  </si>
  <si>
    <t>凤凰眼泪</t>
  </si>
  <si>
    <t>奥林矿石</t>
  </si>
  <si>
    <t>欧丁矿石</t>
  </si>
  <si>
    <t>泰坦矿石</t>
  </si>
  <si>
    <t>水仙</t>
  </si>
  <si>
    <t>金针花</t>
  </si>
  <si>
    <t>紫莓</t>
  </si>
  <si>
    <t>真鲷</t>
  </si>
  <si>
    <t>樱花鲑</t>
  </si>
  <si>
    <t>帝王蟹</t>
  </si>
  <si>
    <t>苦艾</t>
  </si>
  <si>
    <t>无花果</t>
  </si>
  <si>
    <t>蜜橘</t>
  </si>
  <si>
    <t>/</t>
    <phoneticPr fontId="2" type="noConversion"/>
  </si>
  <si>
    <t>青鸟城外右上方湖边</t>
    <phoneticPr fontId="2" type="noConversion"/>
  </si>
  <si>
    <t>南猫咪森林右下桥边</t>
    <phoneticPr fontId="2" type="noConversion"/>
  </si>
  <si>
    <t>水仙香露</t>
  </si>
  <si>
    <t>苦艾茶</t>
  </si>
  <si>
    <t>心痛的感觉</t>
  </si>
  <si>
    <t>强效活血剂</t>
  </si>
  <si>
    <t>强效加速剂</t>
  </si>
  <si>
    <t>强效大力丸</t>
  </si>
  <si>
    <t>黄金鲷鱼羹</t>
  </si>
  <si>
    <t>烟熏鲑鱼</t>
  </si>
  <si>
    <t>帝王蟹火锅</t>
  </si>
  <si>
    <t>苦艾酒</t>
  </si>
  <si>
    <t>清酒</t>
  </si>
  <si>
    <t>伏特加</t>
  </si>
  <si>
    <t>日本姬女</t>
    <phoneticPr fontId="2" type="noConversion"/>
  </si>
  <si>
    <t>凤缎</t>
  </si>
  <si>
    <t>凤绸</t>
  </si>
  <si>
    <t>锦绢</t>
  </si>
  <si>
    <t>奥林金属</t>
  </si>
  <si>
    <t>欧丁金属</t>
  </si>
  <si>
    <t>泰坦金属</t>
  </si>
  <si>
    <t>路娜晶石</t>
  </si>
  <si>
    <t>狄米斯晶石</t>
  </si>
  <si>
    <t>乔舒亚晶石</t>
  </si>
  <si>
    <t>路娜结石原石</t>
  </si>
  <si>
    <t>狄米斯石原石</t>
  </si>
  <si>
    <t>乔舒亚石原石</t>
  </si>
  <si>
    <t>土来姆</t>
    <phoneticPr fontId="2" type="noConversion"/>
  </si>
  <si>
    <t>千年大还丹</t>
    <phoneticPr fontId="2" type="noConversion"/>
  </si>
  <si>
    <t>毒蘑菇</t>
  </si>
  <si>
    <t>雪天果</t>
  </si>
  <si>
    <t>养生酒</t>
  </si>
  <si>
    <t>暂时体质+50</t>
    <phoneticPr fontId="2" type="noConversion"/>
  </si>
  <si>
    <t>勇者的秘药</t>
  </si>
  <si>
    <t>山楂果</t>
  </si>
  <si>
    <t>七彩八角</t>
  </si>
  <si>
    <t>魔力特饮</t>
  </si>
  <si>
    <t>暂时敏捷/力量+55</t>
    <phoneticPr fontId="2" type="noConversion"/>
  </si>
  <si>
    <t>魔女的口粮</t>
  </si>
  <si>
    <t>黑鲔鱼</t>
  </si>
  <si>
    <t>蜥蜴的尾巴</t>
  </si>
  <si>
    <t>暂时智慧+50</t>
    <phoneticPr fontId="2" type="noConversion"/>
  </si>
  <si>
    <t>暂时幸运+50</t>
    <phoneticPr fontId="2" type="noConversion"/>
  </si>
  <si>
    <t>小强元气饮料</t>
    <phoneticPr fontId="2" type="noConversion"/>
  </si>
  <si>
    <t>巨螯虾</t>
  </si>
  <si>
    <t>蟑螂的脚</t>
  </si>
  <si>
    <t>精灵绸缎</t>
  </si>
  <si>
    <t>王者丝布</t>
  </si>
  <si>
    <t>菲洛尔金属</t>
  </si>
  <si>
    <t>菲洛尔矿石</t>
  </si>
  <si>
    <t>路加斯金属</t>
  </si>
  <si>
    <t>血卵石</t>
  </si>
  <si>
    <t>康士坦晶石</t>
  </si>
  <si>
    <t>血卵石原石</t>
  </si>
  <si>
    <t>康士坦原石</t>
  </si>
  <si>
    <t>10HP3MP/H</t>
    <phoneticPr fontId="2" type="noConversion"/>
  </si>
  <si>
    <t>游戏10小时</t>
    <phoneticPr fontId="2" type="noConversion"/>
  </si>
  <si>
    <t>游戏20小时</t>
    <phoneticPr fontId="2" type="noConversion"/>
  </si>
  <si>
    <t>现实15分钟</t>
    <phoneticPr fontId="2" type="noConversion"/>
  </si>
  <si>
    <t>现实10分钟</t>
    <phoneticPr fontId="2" type="noConversion"/>
  </si>
  <si>
    <t>暂时力量+50</t>
    <phoneticPr fontId="2" type="noConversion"/>
  </si>
  <si>
    <t>生姜/老姜</t>
    <phoneticPr fontId="2" type="noConversion"/>
  </si>
  <si>
    <t>黄蔓葵/半夏</t>
    <phoneticPr fontId="2" type="noConversion"/>
  </si>
  <si>
    <t>牛肉/牛皮</t>
    <phoneticPr fontId="2" type="noConversion"/>
  </si>
  <si>
    <t>鹿肉/鹿皮</t>
    <phoneticPr fontId="2" type="noConversion"/>
  </si>
  <si>
    <t>采集</t>
    <phoneticPr fontId="2" type="noConversion"/>
  </si>
  <si>
    <t>狩猎</t>
    <phoneticPr fontId="2" type="noConversion"/>
  </si>
  <si>
    <t>农事</t>
    <phoneticPr fontId="2" type="noConversion"/>
  </si>
  <si>
    <t>艾司伍林地木材堆区</t>
    <phoneticPr fontId="2" type="noConversion"/>
  </si>
  <si>
    <t>魔纹杉</t>
    <phoneticPr fontId="2" type="noConversion"/>
  </si>
  <si>
    <t>菲洛尔矿石</t>
    <phoneticPr fontId="2" type="noConversion"/>
  </si>
  <si>
    <t>葛雷夏村东南山区</t>
    <phoneticPr fontId="2" type="noConversion"/>
  </si>
  <si>
    <t>路加斯矿石</t>
    <phoneticPr fontId="2" type="noConversion"/>
  </si>
  <si>
    <t>黑鲔鱼</t>
    <phoneticPr fontId="2" type="noConversion"/>
  </si>
  <si>
    <t>葛雷夏村方形鱼池周围</t>
    <phoneticPr fontId="2" type="noConversion"/>
  </si>
  <si>
    <t>巨鳌虾</t>
    <phoneticPr fontId="2" type="noConversion"/>
  </si>
  <si>
    <t>葛雷夏村村内绿林区</t>
    <phoneticPr fontId="2" type="noConversion"/>
  </si>
  <si>
    <t>蜥蜴的尾巴</t>
    <phoneticPr fontId="2" type="noConversion"/>
  </si>
  <si>
    <t>艾司伍林地北区</t>
    <phoneticPr fontId="2" type="noConversion"/>
  </si>
  <si>
    <t>蟑蜋的脚</t>
    <phoneticPr fontId="2" type="noConversion"/>
  </si>
  <si>
    <t>宁静冻原湖岸北边林地</t>
    <phoneticPr fontId="2" type="noConversion"/>
  </si>
  <si>
    <t>乐器装备</t>
    <phoneticPr fontId="2" type="noConversion"/>
  </si>
  <si>
    <t>58*33</t>
    <phoneticPr fontId="2" type="noConversion"/>
  </si>
  <si>
    <t>68*37</t>
    <phoneticPr fontId="2" type="noConversion"/>
  </si>
  <si>
    <t>进阶技能</t>
    <phoneticPr fontId="2" type="noConversion"/>
  </si>
  <si>
    <t>水仙</t>
    <phoneticPr fontId="2" type="noConversion"/>
  </si>
  <si>
    <t>金针花</t>
    <phoneticPr fontId="2" type="noConversion"/>
  </si>
  <si>
    <t>MP2500</t>
    <phoneticPr fontId="2" type="noConversion"/>
  </si>
  <si>
    <t>MP3000</t>
    <phoneticPr fontId="2" type="noConversion"/>
  </si>
  <si>
    <t>MP3500</t>
    <phoneticPr fontId="2" type="noConversion"/>
  </si>
  <si>
    <t>回血速度增加</t>
    <phoneticPr fontId="2" type="noConversion"/>
  </si>
  <si>
    <t>暂时敏捷+50</t>
    <phoneticPr fontId="2" type="noConversion"/>
  </si>
  <si>
    <t>凤凰羽毛</t>
    <phoneticPr fontId="2" type="noConversion"/>
  </si>
  <si>
    <t>冶炼</t>
    <phoneticPr fontId="2" type="noConversion"/>
  </si>
  <si>
    <t>奥林矿石</t>
    <phoneticPr fontId="2" type="noConversion"/>
  </si>
  <si>
    <t>孔雀石</t>
    <phoneticPr fontId="2" type="noConversion"/>
  </si>
  <si>
    <t>棒类武器</t>
    <phoneticPr fontId="2" type="noConversion"/>
  </si>
  <si>
    <t>算盘武器</t>
    <phoneticPr fontId="2" type="noConversion"/>
  </si>
  <si>
    <t>种类</t>
    <phoneticPr fontId="2" type="noConversion"/>
  </si>
  <si>
    <t>精灵守护面具</t>
  </si>
  <si>
    <t>康士坦神盔</t>
  </si>
  <si>
    <t>精灵之冠</t>
  </si>
  <si>
    <t>王者头环</t>
  </si>
  <si>
    <t>精灵护手</t>
  </si>
  <si>
    <t>王者手套</t>
  </si>
  <si>
    <t>诸神之腕</t>
  </si>
  <si>
    <t>榉木圆盾</t>
  </si>
  <si>
    <t>榉木</t>
  </si>
  <si>
    <t>霸者之盾</t>
  </si>
  <si>
    <t>魔纹杉</t>
  </si>
  <si>
    <t>战神巨盾</t>
  </si>
  <si>
    <t>妖精长脚靴</t>
  </si>
  <si>
    <t>王者之靴</t>
  </si>
  <si>
    <t>魔法神行鞋</t>
  </si>
  <si>
    <t>血的烙印</t>
  </si>
  <si>
    <t>王者之戒</t>
  </si>
  <si>
    <t>神之指环</t>
  </si>
  <si>
    <t>血之守护</t>
  </si>
  <si>
    <t>王者项链</t>
  </si>
  <si>
    <t>精灵咒法袍</t>
  </si>
  <si>
    <t>智者金缕衣</t>
  </si>
  <si>
    <t>天神法衣</t>
  </si>
  <si>
    <t>精灵战甲</t>
  </si>
  <si>
    <t>霸主战衣</t>
  </si>
  <si>
    <t>神圣锁甲</t>
  </si>
  <si>
    <t>铁血金钢铠</t>
  </si>
  <si>
    <t>霸主战甲</t>
  </si>
  <si>
    <t>鬼神铠冑</t>
  </si>
  <si>
    <t>探险家手记</t>
  </si>
  <si>
    <t>修士法典</t>
  </si>
  <si>
    <t>真理之书</t>
  </si>
  <si>
    <t>预言之书</t>
  </si>
  <si>
    <t>术法滚动条</t>
  </si>
  <si>
    <t>封印之书</t>
  </si>
  <si>
    <t>智者之书</t>
  </si>
  <si>
    <t>魔王之书</t>
  </si>
  <si>
    <t>密码滚动条</t>
  </si>
  <si>
    <t>封印滚动条</t>
  </si>
  <si>
    <t>嗜血之剑</t>
  </si>
  <si>
    <t>王者之剑</t>
  </si>
  <si>
    <t>辟邪斩妖剑</t>
  </si>
  <si>
    <t>血光之刀</t>
  </si>
  <si>
    <t>帝王神刃</t>
  </si>
  <si>
    <t>邪灵妖刀</t>
  </si>
  <si>
    <t>嗜血之斧</t>
  </si>
  <si>
    <t>帝王神斧</t>
  </si>
  <si>
    <t>屠妖战神斧</t>
  </si>
  <si>
    <t>血石魔杖</t>
  </si>
  <si>
    <t>魔导士法杖</t>
  </si>
  <si>
    <t>王者令牌</t>
  </si>
  <si>
    <t>血焰之拳</t>
  </si>
  <si>
    <t>帝王拳套</t>
  </si>
  <si>
    <t>战神拳套</t>
  </si>
  <si>
    <t>转生皮鞭</t>
  </si>
  <si>
    <t>魔纹鞭</t>
  </si>
  <si>
    <t>妖木鞭</t>
  </si>
  <si>
    <t>榉木算盘</t>
  </si>
  <si>
    <t>魔纹算盘</t>
  </si>
  <si>
    <t>夜猴</t>
  </si>
  <si>
    <t>啄木猪</t>
  </si>
  <si>
    <t>火卷虫</t>
  </si>
  <si>
    <t>天使蝶</t>
  </si>
  <si>
    <t>土蛇</t>
  </si>
  <si>
    <t>小光猫头鹰</t>
  </si>
  <si>
    <t>金艾波</t>
  </si>
  <si>
    <t>黑鼠</t>
  </si>
  <si>
    <t>枯叶蝶</t>
  </si>
  <si>
    <t>小木偶</t>
  </si>
  <si>
    <t>水瓢虫</t>
  </si>
  <si>
    <t>火焰史来姆</t>
  </si>
  <si>
    <t>土窝虫</t>
  </si>
  <si>
    <t>暴力羊</t>
  </si>
  <si>
    <t>火螃蟹</t>
  </si>
  <si>
    <t>来特蜘蛛</t>
  </si>
  <si>
    <t>钱猪</t>
  </si>
  <si>
    <t>黑蛇</t>
  </si>
  <si>
    <t>木头波里</t>
  </si>
  <si>
    <t>土山羊</t>
  </si>
  <si>
    <t>土拨鼠</t>
  </si>
  <si>
    <t>光瓢虫</t>
  </si>
  <si>
    <t>金属史来姆</t>
  </si>
  <si>
    <t>邪恶秃鹰</t>
  </si>
  <si>
    <t>黑熊</t>
  </si>
  <si>
    <t>水蛙</t>
  </si>
  <si>
    <t>白羊</t>
  </si>
  <si>
    <t>高登波里</t>
  </si>
  <si>
    <t>灿金蝶</t>
  </si>
  <si>
    <t>金属幽灵</t>
  </si>
  <si>
    <t>木瓢虫</t>
  </si>
  <si>
    <t>水波鼠</t>
  </si>
  <si>
    <t>火熊</t>
  </si>
  <si>
    <t>圣光来姆</t>
  </si>
  <si>
    <t>金绵羊</t>
  </si>
  <si>
    <t>黑蜥蜴</t>
  </si>
  <si>
    <t>火焰飞马</t>
  </si>
  <si>
    <t>光犹箭猪</t>
  </si>
  <si>
    <t>金狮</t>
  </si>
  <si>
    <t>黑寡妇</t>
  </si>
  <si>
    <t>邪恶激斗蛙</t>
  </si>
  <si>
    <t>水骷髅</t>
  </si>
  <si>
    <t>火蜘蛛</t>
  </si>
  <si>
    <t>木蜥蜴</t>
  </si>
  <si>
    <t>水蛇</t>
  </si>
  <si>
    <t>加油波里</t>
  </si>
  <si>
    <t>圣洁飞马</t>
  </si>
  <si>
    <t>黑蝶</t>
  </si>
  <si>
    <t>土骷髅</t>
  </si>
  <si>
    <t>冰箭猪</t>
  </si>
  <si>
    <t>挖矿蜥蜴</t>
  </si>
  <si>
    <t>土狼</t>
  </si>
  <si>
    <t>金猴子</t>
  </si>
  <si>
    <t>大野狼</t>
  </si>
  <si>
    <t>暴龙人</t>
  </si>
  <si>
    <t>墨汁波里</t>
  </si>
  <si>
    <t>金毛秃鹰</t>
  </si>
  <si>
    <t>武得秃鹰</t>
  </si>
  <si>
    <t>光明秃鹰</t>
  </si>
  <si>
    <t>波里波里</t>
  </si>
  <si>
    <t>土猴子</t>
  </si>
  <si>
    <t>金螃蟹</t>
  </si>
  <si>
    <t>火光蛇</t>
  </si>
  <si>
    <t>地缚灵</t>
  </si>
  <si>
    <t>木蜘蛛</t>
  </si>
  <si>
    <t>阿波罗狮</t>
  </si>
  <si>
    <t>正港黑猪</t>
  </si>
  <si>
    <t>镶金牛</t>
  </si>
  <si>
    <t>潜水羊</t>
  </si>
  <si>
    <t>炽烈鹰</t>
  </si>
  <si>
    <t>闪光龙</t>
  </si>
  <si>
    <t>黑卷虫</t>
  </si>
  <si>
    <t>灌水牛</t>
  </si>
  <si>
    <t>光明狮</t>
  </si>
  <si>
    <t>黑皮凤梨</t>
  </si>
  <si>
    <t>冰偶</t>
  </si>
  <si>
    <t>暗黑狮</t>
  </si>
  <si>
    <t>老实牛</t>
  </si>
  <si>
    <t>火箭猪</t>
  </si>
  <si>
    <t>木头贝贝</t>
  </si>
  <si>
    <t>金海马</t>
  </si>
  <si>
    <t>水贝贝</t>
  </si>
  <si>
    <t>水鬼</t>
  </si>
  <si>
    <t>蜜蜂熊</t>
  </si>
  <si>
    <t>木头宝宝</t>
  </si>
  <si>
    <t>暴力蛙</t>
  </si>
  <si>
    <t>泥土蛙</t>
  </si>
  <si>
    <t>金钱蟹</t>
  </si>
  <si>
    <t>光窝虫</t>
  </si>
  <si>
    <t>白虎</t>
  </si>
  <si>
    <t>黑神驹</t>
  </si>
  <si>
    <t>布鲁鲸</t>
  </si>
  <si>
    <t>金贝壳</t>
  </si>
  <si>
    <t>烧烤寄居蟹</t>
  </si>
  <si>
    <t>水精灵</t>
  </si>
  <si>
    <t>镁光灯</t>
  </si>
  <si>
    <t>魔力土龟</t>
  </si>
  <si>
    <t>章鱼烧</t>
  </si>
  <si>
    <t>月兔</t>
  </si>
  <si>
    <t>火猫鹰</t>
  </si>
  <si>
    <t>金度鸟</t>
  </si>
  <si>
    <t>黑兔</t>
  </si>
  <si>
    <t>爱水虎</t>
  </si>
  <si>
    <t>白玫瑰</t>
  </si>
  <si>
    <t>绵绵狗</t>
  </si>
  <si>
    <t>啃木虫</t>
  </si>
  <si>
    <t>木铃兰</t>
  </si>
  <si>
    <t>暴力兔</t>
  </si>
  <si>
    <t>水扑克</t>
  </si>
  <si>
    <t>木玫瑰</t>
  </si>
  <si>
    <t>神圣士兵</t>
  </si>
  <si>
    <t>金光士兵</t>
  </si>
  <si>
    <t>水漾菊</t>
  </si>
  <si>
    <t>坚强士兵</t>
  </si>
  <si>
    <t>爱钱虫</t>
  </si>
  <si>
    <t>金铃兰</t>
  </si>
  <si>
    <t>金章鱼</t>
  </si>
  <si>
    <t>月亮猫咪</t>
  </si>
  <si>
    <t>镶金鲸鱼</t>
  </si>
  <si>
    <t>金钱龟</t>
  </si>
  <si>
    <t>金属精灵</t>
  </si>
  <si>
    <t>黄金飞龙</t>
  </si>
  <si>
    <t>金凤凰</t>
  </si>
  <si>
    <t>快乐狗狗</t>
  </si>
  <si>
    <t>木头兔</t>
  </si>
  <si>
    <t>飞木马</t>
  </si>
  <si>
    <t>木灯鱼</t>
  </si>
  <si>
    <t>爬木雪怪</t>
  </si>
  <si>
    <t>木士兵</t>
  </si>
  <si>
    <t>木角兽</t>
  </si>
  <si>
    <t>小木精灵</t>
  </si>
  <si>
    <t>木鱼</t>
  </si>
  <si>
    <t>绿飞龙</t>
  </si>
  <si>
    <t>雷木兽</t>
  </si>
  <si>
    <t>水艾波</t>
  </si>
  <si>
    <t>水虫</t>
  </si>
  <si>
    <t>蓝狮子</t>
  </si>
  <si>
    <t>水星</t>
  </si>
  <si>
    <t>水龙人</t>
  </si>
  <si>
    <t>蓝飞马</t>
  </si>
  <si>
    <t>布鲁雪怪</t>
  </si>
  <si>
    <t>蓝乌贼</t>
  </si>
  <si>
    <t>水灯</t>
  </si>
  <si>
    <t>水龟</t>
  </si>
  <si>
    <t>蓝章鱼</t>
  </si>
  <si>
    <t>蓝凤凰</t>
  </si>
  <si>
    <t>红铃兰</t>
  </si>
  <si>
    <t>火灯笼</t>
  </si>
  <si>
    <t>火星</t>
  </si>
  <si>
    <t>红菊</t>
  </si>
  <si>
    <t>火力虫</t>
  </si>
  <si>
    <t>火角兽</t>
  </si>
  <si>
    <t>土灯笼</t>
  </si>
  <si>
    <t>乖猫咪</t>
  </si>
  <si>
    <t>土铃兰</t>
  </si>
  <si>
    <t>土章鱼</t>
  </si>
  <si>
    <t>土海马</t>
  </si>
  <si>
    <t>土角兽</t>
  </si>
  <si>
    <t>土鲸鱼</t>
  </si>
  <si>
    <t>土土兔</t>
  </si>
  <si>
    <t>土龙</t>
  </si>
  <si>
    <t>土雷兽</t>
  </si>
  <si>
    <t>土凤凰</t>
  </si>
  <si>
    <t>光居蟹</t>
  </si>
  <si>
    <t>白虫</t>
  </si>
  <si>
    <t>海光星</t>
  </si>
  <si>
    <t>白鸟</t>
  </si>
  <si>
    <t>光乌贼</t>
  </si>
  <si>
    <t>白兔子</t>
  </si>
  <si>
    <t>光贝贝</t>
  </si>
  <si>
    <t>白章鱼</t>
  </si>
  <si>
    <t>白鲸</t>
  </si>
  <si>
    <t>光精灵</t>
  </si>
  <si>
    <t>白魔龟</t>
  </si>
  <si>
    <t>光雷兽</t>
  </si>
  <si>
    <t>黑盏菊</t>
  </si>
  <si>
    <t>黑色扑克牌</t>
  </si>
  <si>
    <t>暗章鱼</t>
  </si>
  <si>
    <t>怪乌贼</t>
  </si>
  <si>
    <t>邪恶兔子</t>
  </si>
  <si>
    <t>暗星</t>
  </si>
  <si>
    <t>黑魔鸟</t>
  </si>
  <si>
    <t>邪恶龟</t>
  </si>
  <si>
    <t>黑猫</t>
  </si>
  <si>
    <t>黑玫瑰</t>
  </si>
  <si>
    <t>黑鲸鱼</t>
  </si>
  <si>
    <t>暗龙</t>
  </si>
  <si>
    <t>邪恶雷爵兽</t>
  </si>
  <si>
    <t>黑暗凤凰</t>
  </si>
  <si>
    <t>金兰花</t>
  </si>
  <si>
    <t>小木鱼</t>
  </si>
  <si>
    <t>小天使</t>
  </si>
  <si>
    <t>小恶魔</t>
  </si>
  <si>
    <t>沙漠士兵</t>
  </si>
  <si>
    <t>樱桃骷髅</t>
  </si>
  <si>
    <t>白金小龟</t>
  </si>
  <si>
    <t>青苹喵</t>
  </si>
  <si>
    <t>小丑兔</t>
  </si>
  <si>
    <t>金骆驼</t>
  </si>
  <si>
    <t>拔木象</t>
  </si>
  <si>
    <t>巨木精灵</t>
  </si>
  <si>
    <t>洁净天使</t>
  </si>
  <si>
    <t>水鸠兽</t>
  </si>
  <si>
    <t>水灯巨魔</t>
  </si>
  <si>
    <t>加百列</t>
  </si>
  <si>
    <t>火Q兽</t>
  </si>
  <si>
    <t>本土天后</t>
  </si>
  <si>
    <t>土Q兽</t>
  </si>
  <si>
    <t>沙土巨魔</t>
  </si>
  <si>
    <t>闪光魔</t>
  </si>
  <si>
    <t>白骆驼</t>
  </si>
  <si>
    <t>馒头象</t>
  </si>
  <si>
    <t>堕落天使</t>
  </si>
  <si>
    <t>达克象</t>
  </si>
  <si>
    <t>暗夜兽</t>
  </si>
  <si>
    <t>青草企鹅</t>
  </si>
  <si>
    <t>汲水蜂</t>
  </si>
  <si>
    <t>浮水大可兽</t>
  </si>
  <si>
    <t>火烧抠拉</t>
  </si>
  <si>
    <t>光美哆</t>
  </si>
  <si>
    <t>黑皮怕啃</t>
  </si>
  <si>
    <t>黄飞猴</t>
  </si>
  <si>
    <t>金河豚</t>
  </si>
  <si>
    <t>金钱豹</t>
  </si>
  <si>
    <t>土番鸦</t>
  </si>
  <si>
    <t>流沙河豚</t>
  </si>
  <si>
    <t>芦苇草人</t>
  </si>
  <si>
    <t>序号</t>
    <phoneticPr fontId="2" type="noConversion"/>
  </si>
  <si>
    <t>幻兽名称</t>
    <phoneticPr fontId="2" type="noConversion"/>
  </si>
  <si>
    <t>光幽</t>
    <phoneticPr fontId="2" type="noConversion"/>
  </si>
  <si>
    <t>拾木鼠</t>
    <phoneticPr fontId="2" type="noConversion"/>
  </si>
  <si>
    <t>金钱鼠</t>
    <phoneticPr fontId="2" type="noConversion"/>
  </si>
  <si>
    <t>水蜘蛛</t>
    <phoneticPr fontId="2" type="noConversion"/>
  </si>
  <si>
    <t>暗瓢虫</t>
    <phoneticPr fontId="2" type="noConversion"/>
  </si>
  <si>
    <t>红瓢虫</t>
    <phoneticPr fontId="2" type="noConversion"/>
  </si>
  <si>
    <t>黄褐蝶</t>
    <phoneticPr fontId="2" type="noConversion"/>
  </si>
  <si>
    <t>金壳蛛</t>
    <phoneticPr fontId="2" type="noConversion"/>
  </si>
  <si>
    <t>爬树蛇</t>
    <phoneticPr fontId="2" type="noConversion"/>
  </si>
  <si>
    <t>树猴</t>
    <phoneticPr fontId="2" type="noConversion"/>
  </si>
  <si>
    <t>黑牛</t>
    <phoneticPr fontId="2" type="noConversion"/>
  </si>
  <si>
    <t>大红蝶</t>
    <phoneticPr fontId="2" type="noConversion"/>
  </si>
  <si>
    <t>褐土狮</t>
    <phoneticPr fontId="2" type="noConversion"/>
  </si>
  <si>
    <t>米迦勒</t>
    <phoneticPr fontId="2" type="noConversion"/>
  </si>
  <si>
    <t>暗影蝎</t>
    <phoneticPr fontId="2" type="noConversion"/>
  </si>
  <si>
    <t>巨角蝎</t>
    <phoneticPr fontId="2" type="noConversion"/>
  </si>
  <si>
    <t>小小红玫瑰</t>
    <phoneticPr fontId="2" type="noConversion"/>
  </si>
  <si>
    <t>小小地雷兽</t>
    <phoneticPr fontId="2" type="noConversion"/>
  </si>
  <si>
    <t>小小白抠拉</t>
    <phoneticPr fontId="2" type="noConversion"/>
  </si>
  <si>
    <t>金丝雀</t>
    <phoneticPr fontId="2" type="noConversion"/>
  </si>
  <si>
    <t>夹木鼬</t>
    <phoneticPr fontId="2" type="noConversion"/>
  </si>
  <si>
    <t>喷火鼬</t>
    <phoneticPr fontId="2" type="noConversion"/>
  </si>
  <si>
    <t>漱口水</t>
    <phoneticPr fontId="2" type="noConversion"/>
  </si>
  <si>
    <t>葡萄酒</t>
    <phoneticPr fontId="2" type="noConversion"/>
  </si>
  <si>
    <t>贪心鬼</t>
    <phoneticPr fontId="2" type="noConversion"/>
  </si>
  <si>
    <t>青衣鬼</t>
    <phoneticPr fontId="2" type="noConversion"/>
  </si>
  <si>
    <t>黄金机器人</t>
    <phoneticPr fontId="2" type="noConversion"/>
  </si>
  <si>
    <t>合金机器人</t>
    <phoneticPr fontId="2" type="noConversion"/>
  </si>
  <si>
    <t>稻草包</t>
    <phoneticPr fontId="2" type="noConversion"/>
  </si>
  <si>
    <t>绿草包</t>
    <phoneticPr fontId="2" type="noConversion"/>
  </si>
  <si>
    <t>泼水猴</t>
    <phoneticPr fontId="2" type="noConversion"/>
  </si>
  <si>
    <t>金色桃乐蒂</t>
    <phoneticPr fontId="2" type="noConversion"/>
  </si>
  <si>
    <t>绿色老公公</t>
    <phoneticPr fontId="2" type="noConversion"/>
  </si>
  <si>
    <t>小狗来福</t>
    <phoneticPr fontId="2" type="noConversion"/>
  </si>
  <si>
    <t>快闪河豚</t>
    <phoneticPr fontId="2" type="noConversion"/>
  </si>
  <si>
    <t>多金狮子</t>
    <phoneticPr fontId="2" type="noConversion"/>
  </si>
  <si>
    <t>红糖狗狗</t>
    <phoneticPr fontId="2" type="noConversion"/>
  </si>
  <si>
    <t>黄金老公公</t>
    <phoneticPr fontId="2" type="noConversion"/>
  </si>
  <si>
    <t>跳跃</t>
    <phoneticPr fontId="2" type="noConversion"/>
  </si>
  <si>
    <t>爵士狮子</t>
    <phoneticPr fontId="2" type="noConversion"/>
  </si>
  <si>
    <t>土豹子</t>
    <phoneticPr fontId="2" type="noConversion"/>
  </si>
  <si>
    <t>雪豹</t>
    <phoneticPr fontId="2" type="noConversion"/>
  </si>
  <si>
    <t>蓝色桃乐蒂</t>
    <phoneticPr fontId="2" type="noConversion"/>
  </si>
  <si>
    <t>死神</t>
    <phoneticPr fontId="2" type="noConversion"/>
  </si>
  <si>
    <t>小狗瓦特</t>
    <phoneticPr fontId="2" type="noConversion"/>
  </si>
  <si>
    <t>巧比特</t>
    <phoneticPr fontId="2" type="noConversion"/>
  </si>
  <si>
    <t>绿色桃乐蒂</t>
    <phoneticPr fontId="2" type="noConversion"/>
  </si>
  <si>
    <t>水晶老公公</t>
    <phoneticPr fontId="2" type="noConversion"/>
  </si>
  <si>
    <t>稻草人</t>
    <phoneticPr fontId="2" type="noConversion"/>
  </si>
  <si>
    <t>腐烂草人</t>
    <phoneticPr fontId="2" type="noConversion"/>
  </si>
  <si>
    <t>褐色桃乐蒂</t>
    <phoneticPr fontId="2" type="noConversion"/>
  </si>
  <si>
    <t>黑猿</t>
    <phoneticPr fontId="2" type="noConversion"/>
  </si>
  <si>
    <t>彗星</t>
    <phoneticPr fontId="2" type="noConversion"/>
  </si>
  <si>
    <t>老实狮子</t>
    <phoneticPr fontId="2" type="noConversion"/>
  </si>
  <si>
    <t>狗狗小黄</t>
    <phoneticPr fontId="2" type="noConversion"/>
  </si>
  <si>
    <t>土土狮子</t>
    <phoneticPr fontId="2" type="noConversion"/>
  </si>
  <si>
    <t>琥珀老公公</t>
    <phoneticPr fontId="2" type="noConversion"/>
  </si>
  <si>
    <t>舞者</t>
    <phoneticPr fontId="2" type="noConversion"/>
  </si>
  <si>
    <t>黑色桃乐蒂</t>
    <phoneticPr fontId="2" type="noConversion"/>
  </si>
  <si>
    <t>狗狗小黑</t>
    <phoneticPr fontId="2" type="noConversion"/>
  </si>
  <si>
    <t>白色桃乐蒂</t>
    <phoneticPr fontId="2" type="noConversion"/>
  </si>
  <si>
    <t>煤炭老公公</t>
    <phoneticPr fontId="2" type="noConversion"/>
  </si>
  <si>
    <t>白发狮子</t>
    <phoneticPr fontId="2" type="noConversion"/>
  </si>
  <si>
    <t>白雪老公公</t>
    <phoneticPr fontId="2" type="noConversion"/>
  </si>
  <si>
    <t>红色桃乐蒂</t>
  </si>
  <si>
    <t>闪电</t>
  </si>
  <si>
    <t>鸡年兽</t>
  </si>
  <si>
    <t>熔岩独角仙</t>
  </si>
  <si>
    <t>坏坏司瓦诺</t>
  </si>
  <si>
    <t>黄金宝箱</t>
  </si>
  <si>
    <t>闪电剑妖</t>
  </si>
  <si>
    <t>火焰剑妖</t>
  </si>
  <si>
    <t>恶魔剑妖</t>
  </si>
  <si>
    <t>魔术手套</t>
    <phoneticPr fontId="2" type="noConversion"/>
  </si>
  <si>
    <t>澄汁大嘴鸭</t>
  </si>
  <si>
    <t>红烧大嘴鸭</t>
  </si>
  <si>
    <t>土窑大嘴鸭</t>
  </si>
  <si>
    <t>清蒸大嘴鸭</t>
  </si>
  <si>
    <t>铁板大嘴鸭</t>
  </si>
  <si>
    <t>乳牛</t>
    <phoneticPr fontId="2" type="noConversion"/>
  </si>
  <si>
    <t>桃太郎</t>
    <phoneticPr fontId="2" type="noConversion"/>
  </si>
  <si>
    <t>鲤鱼</t>
    <phoneticPr fontId="2" type="noConversion"/>
  </si>
  <si>
    <t>浪人</t>
    <phoneticPr fontId="2" type="noConversion"/>
  </si>
  <si>
    <t>狐忍者</t>
    <phoneticPr fontId="2" type="noConversion"/>
  </si>
  <si>
    <t>天狗</t>
    <phoneticPr fontId="2" type="noConversion"/>
  </si>
  <si>
    <t>小鬼</t>
    <phoneticPr fontId="2" type="noConversion"/>
  </si>
  <si>
    <t>鬼将军</t>
    <phoneticPr fontId="2" type="noConversion"/>
  </si>
  <si>
    <t>河童</t>
    <phoneticPr fontId="2" type="noConversion"/>
  </si>
  <si>
    <t>水母</t>
    <phoneticPr fontId="2" type="noConversion"/>
  </si>
  <si>
    <t>拉拉舞</t>
    <phoneticPr fontId="2" type="noConversion"/>
  </si>
  <si>
    <t>三连击</t>
    <phoneticPr fontId="2" type="noConversion"/>
  </si>
  <si>
    <t>吸魂术</t>
    <phoneticPr fontId="2" type="noConversion"/>
  </si>
  <si>
    <t>等级属性</t>
    <phoneticPr fontId="2" type="noConversion"/>
  </si>
  <si>
    <t>lv40+35</t>
  </si>
  <si>
    <t>lv40+35</t>
    <phoneticPr fontId="2" type="noConversion"/>
  </si>
  <si>
    <t>lv50+45</t>
  </si>
  <si>
    <t>lv50+45</t>
    <phoneticPr fontId="2" type="noConversion"/>
  </si>
  <si>
    <t>lv45+45</t>
    <phoneticPr fontId="2" type="noConversion"/>
  </si>
  <si>
    <t>lv60+45</t>
  </si>
  <si>
    <t>lv60+45</t>
    <phoneticPr fontId="2" type="noConversion"/>
  </si>
  <si>
    <t>lv55+45</t>
  </si>
  <si>
    <t>lv55+45</t>
    <phoneticPr fontId="2" type="noConversion"/>
  </si>
  <si>
    <t>lv65+50</t>
  </si>
  <si>
    <t>lv65+50</t>
    <phoneticPr fontId="2" type="noConversion"/>
  </si>
  <si>
    <t>武器等级</t>
    <phoneticPr fontId="2" type="noConversion"/>
  </si>
  <si>
    <t>制作装备耐久</t>
    <phoneticPr fontId="2" type="noConversion"/>
  </si>
  <si>
    <t>制造魔法装备</t>
    <phoneticPr fontId="2" type="noConversion"/>
  </si>
  <si>
    <t>迅捷技能</t>
    <phoneticPr fontId="2" type="noConversion"/>
  </si>
  <si>
    <t>闪躲技能</t>
    <phoneticPr fontId="2" type="noConversion"/>
  </si>
  <si>
    <t>交易技能</t>
    <phoneticPr fontId="2" type="noConversion"/>
  </si>
  <si>
    <t>收集技能</t>
    <phoneticPr fontId="2" type="noConversion"/>
  </si>
  <si>
    <t>幻兽捕捉率</t>
    <phoneticPr fontId="2" type="noConversion"/>
  </si>
  <si>
    <t>幻兽知识</t>
    <phoneticPr fontId="2" type="noConversion"/>
  </si>
  <si>
    <t>驯兽</t>
    <phoneticPr fontId="2" type="noConversion"/>
  </si>
  <si>
    <t>算盘伤害</t>
    <phoneticPr fontId="2" type="noConversion"/>
  </si>
  <si>
    <t>鞭子伤害</t>
    <phoneticPr fontId="2" type="noConversion"/>
  </si>
  <si>
    <t>拳技</t>
    <phoneticPr fontId="2" type="noConversion"/>
  </si>
  <si>
    <t>气功</t>
    <phoneticPr fontId="2" type="noConversion"/>
  </si>
  <si>
    <t>斗志</t>
    <phoneticPr fontId="2" type="noConversion"/>
  </si>
  <si>
    <t>拳套伤害</t>
    <phoneticPr fontId="2" type="noConversion"/>
  </si>
  <si>
    <t>最大法力</t>
    <phoneticPr fontId="2" type="noConversion"/>
  </si>
  <si>
    <t>神之守护</t>
    <phoneticPr fontId="2" type="noConversion"/>
  </si>
  <si>
    <t>元素控制</t>
    <phoneticPr fontId="2" type="noConversion"/>
  </si>
  <si>
    <t>光系魔法</t>
    <phoneticPr fontId="2" type="noConversion"/>
  </si>
  <si>
    <t>暗系魔法</t>
    <phoneticPr fontId="2" type="noConversion"/>
  </si>
  <si>
    <t>祈祷</t>
    <phoneticPr fontId="2" type="noConversion"/>
  </si>
  <si>
    <t>魔杖伤害</t>
    <phoneticPr fontId="2" type="noConversion"/>
  </si>
  <si>
    <t>桃花村农田地区</t>
  </si>
  <si>
    <t>青叶丘</t>
  </si>
  <si>
    <t>虎之原</t>
  </si>
  <si>
    <t>鬼岛</t>
  </si>
  <si>
    <t>雾张岛</t>
    <phoneticPr fontId="2" type="noConversion"/>
  </si>
  <si>
    <t>钻石种子</t>
    <phoneticPr fontId="2" type="noConversion"/>
  </si>
  <si>
    <t>钻石原石、红玉髓原石、钻石种子、宠物亲亲糖、发光水晶、强胃散、超级强胃散</t>
    <phoneticPr fontId="2" type="noConversion"/>
  </si>
  <si>
    <t>强胃散</t>
    <phoneticPr fontId="2" type="noConversion"/>
  </si>
  <si>
    <t>威奇迷宫B2</t>
    <phoneticPr fontId="2" type="noConversion"/>
  </si>
  <si>
    <t>玻璃种子、属性调整药丸、三级封印石、幻兽模具</t>
    <phoneticPr fontId="2" type="noConversion"/>
  </si>
  <si>
    <t>体质宝石、敏捷宝石、智慧宝石、攻击宝石、属性调整药丸</t>
    <phoneticPr fontId="2" type="noConversion"/>
  </si>
  <si>
    <t>痞子鳄鱼</t>
    <phoneticPr fontId="2" type="noConversion"/>
  </si>
  <si>
    <t>青苔石</t>
  </si>
  <si>
    <t>布鲁鲸</t>
    <phoneticPr fontId="2" type="noConversion"/>
  </si>
  <si>
    <t>史盖窝克海B1</t>
    <phoneticPr fontId="2" type="noConversion"/>
  </si>
  <si>
    <t>坦林平原</t>
    <phoneticPr fontId="2" type="noConversion"/>
  </si>
  <si>
    <t>金河豚</t>
    <phoneticPr fontId="2" type="noConversion"/>
  </si>
  <si>
    <t>汲水蜂</t>
    <phoneticPr fontId="2" type="noConversion"/>
  </si>
  <si>
    <t>遗迹地下10F</t>
    <phoneticPr fontId="2" type="noConversion"/>
  </si>
  <si>
    <t>试炼洞窟B3</t>
    <phoneticPr fontId="2" type="noConversion"/>
  </si>
  <si>
    <t>大象</t>
    <phoneticPr fontId="2" type="noConversion"/>
  </si>
  <si>
    <t>试炼洞窟B2</t>
    <phoneticPr fontId="2" type="noConversion"/>
  </si>
  <si>
    <t>秃秃岛</t>
    <phoneticPr fontId="2" type="noConversion"/>
  </si>
  <si>
    <t>遗迹地下15F</t>
    <phoneticPr fontId="2" type="noConversion"/>
  </si>
  <si>
    <t>古堡地下B1</t>
    <phoneticPr fontId="2" type="noConversion"/>
  </si>
  <si>
    <t>淡蓝水晶</t>
    <phoneticPr fontId="2" type="noConversion"/>
  </si>
  <si>
    <t>遗迹地下13F</t>
    <phoneticPr fontId="2" type="noConversion"/>
  </si>
  <si>
    <t>大盗巢穴B2</t>
    <phoneticPr fontId="2" type="noConversion"/>
  </si>
  <si>
    <t>遗迹地下14F</t>
    <phoneticPr fontId="2" type="noConversion"/>
  </si>
  <si>
    <t>火焰水晶</t>
    <phoneticPr fontId="2" type="noConversion"/>
  </si>
  <si>
    <t>巨岩岛</t>
    <phoneticPr fontId="2" type="noConversion"/>
  </si>
  <si>
    <t>瓦尼岛</t>
    <phoneticPr fontId="2" type="noConversion"/>
  </si>
  <si>
    <t>黑森林之北</t>
    <phoneticPr fontId="2" type="noConversion"/>
  </si>
  <si>
    <t>黄金种子</t>
    <phoneticPr fontId="2" type="noConversion"/>
  </si>
  <si>
    <t>遗迹地下18F</t>
    <phoneticPr fontId="2" type="noConversion"/>
  </si>
  <si>
    <t>遗迹地下2F</t>
    <phoneticPr fontId="2" type="noConversion"/>
  </si>
  <si>
    <t>遗迹地下5F</t>
    <phoneticPr fontId="2" type="noConversion"/>
  </si>
  <si>
    <t>冥界洞窟B3</t>
    <phoneticPr fontId="2" type="noConversion"/>
  </si>
  <si>
    <t>月光村</t>
    <phoneticPr fontId="2" type="noConversion"/>
  </si>
  <si>
    <t>遗迹地下7F</t>
    <phoneticPr fontId="2" type="noConversion"/>
  </si>
  <si>
    <t>遗迹地下6F</t>
    <phoneticPr fontId="2" type="noConversion"/>
  </si>
  <si>
    <t>沉睡村</t>
    <phoneticPr fontId="2" type="noConversion"/>
  </si>
  <si>
    <t>遗迹地下11F</t>
    <phoneticPr fontId="2" type="noConversion"/>
  </si>
  <si>
    <t>遗迹地下9F</t>
    <phoneticPr fontId="2" type="noConversion"/>
  </si>
  <si>
    <t>遗迹地下3F</t>
    <phoneticPr fontId="2" type="noConversion"/>
  </si>
  <si>
    <t>阴暗洞窟1F</t>
    <phoneticPr fontId="2" type="noConversion"/>
  </si>
  <si>
    <t>冥界洞窟B2</t>
    <phoneticPr fontId="2" type="noConversion"/>
  </si>
  <si>
    <t>遗迹地下8F</t>
    <phoneticPr fontId="2" type="noConversion"/>
  </si>
  <si>
    <t>黑森林之南</t>
    <phoneticPr fontId="2" type="noConversion"/>
  </si>
  <si>
    <t>沙皮岛外围</t>
    <phoneticPr fontId="2" type="noConversion"/>
  </si>
  <si>
    <t>土番鸦</t>
    <phoneticPr fontId="2" type="noConversion"/>
  </si>
  <si>
    <t>威奇迷宫B1</t>
    <phoneticPr fontId="2" type="noConversion"/>
  </si>
  <si>
    <t>市镇地下室</t>
    <phoneticPr fontId="2" type="noConversion"/>
  </si>
  <si>
    <t>求婚戒台</t>
    <phoneticPr fontId="2" type="noConversion"/>
  </si>
  <si>
    <t>遗迹地下19F</t>
    <phoneticPr fontId="2" type="noConversion"/>
  </si>
  <si>
    <t>史来姆迷宫B3</t>
    <phoneticPr fontId="2" type="noConversion"/>
  </si>
  <si>
    <t>伊利村</t>
    <phoneticPr fontId="2" type="noConversion"/>
  </si>
  <si>
    <t>玫瑰湖</t>
    <phoneticPr fontId="2" type="noConversion"/>
  </si>
  <si>
    <t>摩摩岛</t>
    <phoneticPr fontId="2" type="noConversion"/>
  </si>
  <si>
    <t>秘密古墓B2</t>
    <phoneticPr fontId="2" type="noConversion"/>
  </si>
  <si>
    <t>以利暗沙漠</t>
    <phoneticPr fontId="2" type="noConversion"/>
  </si>
  <si>
    <t>到府收购券</t>
    <phoneticPr fontId="2" type="noConversion"/>
  </si>
  <si>
    <t>蓝抠拉</t>
    <phoneticPr fontId="2" type="noConversion"/>
  </si>
  <si>
    <t>史来姆迷宫1F</t>
    <phoneticPr fontId="2" type="noConversion"/>
  </si>
  <si>
    <t>青蛙沼泽</t>
    <phoneticPr fontId="2" type="noConversion"/>
  </si>
  <si>
    <t>趴趴迷宫B1</t>
    <phoneticPr fontId="2" type="noConversion"/>
  </si>
  <si>
    <t>光猷箭猪</t>
    <phoneticPr fontId="2" type="noConversion"/>
  </si>
  <si>
    <t>遗迹地下1F</t>
    <phoneticPr fontId="2" type="noConversion"/>
  </si>
  <si>
    <t>沉睡迷宫</t>
    <phoneticPr fontId="2" type="noConversion"/>
  </si>
  <si>
    <t>遗迹地下12F</t>
    <phoneticPr fontId="2" type="noConversion"/>
  </si>
  <si>
    <t>阴暗山洞1F</t>
    <phoneticPr fontId="2" type="noConversion"/>
  </si>
  <si>
    <t>阴暗山洞2F</t>
    <phoneticPr fontId="2" type="noConversion"/>
  </si>
  <si>
    <t>龙窟2F</t>
    <phoneticPr fontId="2" type="noConversion"/>
  </si>
  <si>
    <t>金银城迷宫B2</t>
    <phoneticPr fontId="2" type="noConversion"/>
  </si>
  <si>
    <t>水贝贝</t>
    <phoneticPr fontId="2" type="noConversion"/>
  </si>
  <si>
    <t>史盖窝克海</t>
    <phoneticPr fontId="2" type="noConversion"/>
  </si>
  <si>
    <t>遗迹地下20F</t>
    <phoneticPr fontId="2" type="noConversion"/>
  </si>
  <si>
    <t>遗迹地下21F</t>
    <phoneticPr fontId="2" type="noConversion"/>
  </si>
  <si>
    <t>龙窟1F</t>
    <phoneticPr fontId="2" type="noConversion"/>
  </si>
  <si>
    <t>猫眼石原石</t>
    <phoneticPr fontId="2" type="noConversion"/>
  </si>
  <si>
    <t>水晶山</t>
    <phoneticPr fontId="2" type="noConversion"/>
  </si>
  <si>
    <t>拇指花园</t>
    <phoneticPr fontId="2" type="noConversion"/>
  </si>
  <si>
    <t>奥林巨剑</t>
  </si>
  <si>
    <t>欧丁巨剑</t>
  </si>
  <si>
    <t>泰坦巨剑</t>
  </si>
  <si>
    <t>奥林魔刃</t>
  </si>
  <si>
    <t>欧丁魔刃</t>
  </si>
  <si>
    <t>泰坦魔刃</t>
  </si>
  <si>
    <t>奥林战斧</t>
  </si>
  <si>
    <t>欧丁战斧</t>
  </si>
  <si>
    <t>泰坦战神斧</t>
  </si>
  <si>
    <t>路娜法杖</t>
  </si>
  <si>
    <t>狄米斯魔杖</t>
  </si>
  <si>
    <t>乔舒亚令牌</t>
  </si>
  <si>
    <t>神魂拳套</t>
  </si>
  <si>
    <t>七彩凤羽鞭</t>
  </si>
  <si>
    <t>摄魂鞭</t>
  </si>
  <si>
    <t>恶魔邪咒鞭</t>
  </si>
  <si>
    <t>巨神算盘</t>
  </si>
  <si>
    <t>古松算盘</t>
  </si>
  <si>
    <t>灵桧算盘</t>
  </si>
  <si>
    <t>书籍装备</t>
  </si>
  <si>
    <t>笔记本</t>
  </si>
  <si>
    <t>铁皮书</t>
  </si>
  <si>
    <t>修士入门之书</t>
  </si>
  <si>
    <t>魔法参考书</t>
  </si>
  <si>
    <t>炼金术大全</t>
  </si>
  <si>
    <t>魔导士褐皮书</t>
  </si>
  <si>
    <t>魔导士绿皮书</t>
  </si>
  <si>
    <t>魔导士红皮书</t>
  </si>
  <si>
    <t>魔导士蓝皮书</t>
  </si>
  <si>
    <t>魔导士黄皮书</t>
  </si>
  <si>
    <t>魔导士黑皮书</t>
  </si>
  <si>
    <t>魔导士白皮书</t>
  </si>
  <si>
    <t>凤羽拳套</t>
    <phoneticPr fontId="2" type="noConversion"/>
  </si>
  <si>
    <t>火凤凰拳套</t>
    <phoneticPr fontId="2" type="noConversion"/>
  </si>
  <si>
    <t>凤绸</t>
    <phoneticPr fontId="2" type="noConversion"/>
  </si>
  <si>
    <t>奥林神盔</t>
  </si>
  <si>
    <t>欧丁神盔</t>
  </si>
  <si>
    <t>泰坦神盔</t>
  </si>
  <si>
    <t>路娜法冠</t>
  </si>
  <si>
    <t>狄米斯羽冠</t>
  </si>
  <si>
    <t>乔舒亚皇冠</t>
  </si>
  <si>
    <t>力士之手</t>
  </si>
  <si>
    <t>战神之手</t>
  </si>
  <si>
    <t>巨魔之手</t>
  </si>
  <si>
    <t>巨神兵之盾</t>
  </si>
  <si>
    <t>古代重型盾</t>
  </si>
  <si>
    <t>灵木吸收盾</t>
  </si>
  <si>
    <t>奥林战斗靴</t>
  </si>
  <si>
    <t>欧丁战斗靴</t>
  </si>
  <si>
    <t>泰坦战斗靴</t>
  </si>
  <si>
    <t>凤凰羽袍</t>
  </si>
  <si>
    <t>不死法衣</t>
  </si>
  <si>
    <t>锦绢祭司袍</t>
  </si>
  <si>
    <t>银驹皮锴</t>
  </si>
  <si>
    <t>赤焰皮锴</t>
  </si>
  <si>
    <t>古文字皮锴</t>
  </si>
  <si>
    <t>奥林巨神战铠</t>
  </si>
  <si>
    <t>欧丁巨神战铠</t>
  </si>
  <si>
    <t>泰坦巨神战铠</t>
  </si>
  <si>
    <t>路娜晶戒</t>
  </si>
  <si>
    <t>狄米斯晶戒</t>
  </si>
  <si>
    <t>乔舒亚晶戒</t>
  </si>
  <si>
    <t>路娜守护项链</t>
  </si>
  <si>
    <t>狄米斯之炼</t>
  </si>
  <si>
    <t>乔舒亚护身符</t>
  </si>
  <si>
    <t>lv45+45</t>
  </si>
  <si>
    <t>lv25+30</t>
  </si>
  <si>
    <t>青叶丘</t>
    <phoneticPr fontId="2" type="noConversion"/>
  </si>
  <si>
    <t>雾张岛</t>
  </si>
  <si>
    <t>雾张之海B1</t>
  </si>
  <si>
    <t>雾张之海B2</t>
  </si>
  <si>
    <t>龙宫1F</t>
  </si>
  <si>
    <t>鬼之殿B1</t>
  </si>
  <si>
    <t>鬼之殿B2</t>
  </si>
  <si>
    <t>鬼之殿B3</t>
  </si>
  <si>
    <t>沙皮岛</t>
    <phoneticPr fontId="2" type="noConversion"/>
  </si>
  <si>
    <t>剑类武器伤害</t>
  </si>
  <si>
    <t>战士连击技能</t>
  </si>
  <si>
    <t>随机属性攻击</t>
  </si>
  <si>
    <t>红光宝剑</t>
  </si>
  <si>
    <t>生命点数上限</t>
  </si>
  <si>
    <t>盖亚破巨剑</t>
  </si>
  <si>
    <t>镶嵌-戒指类</t>
    <phoneticPr fontId="2" type="noConversion"/>
  </si>
  <si>
    <t>镶嵌-项链类</t>
    <phoneticPr fontId="2" type="noConversion"/>
  </si>
  <si>
    <t>鞭子武器</t>
    <phoneticPr fontId="2" type="noConversion"/>
  </si>
  <si>
    <t>拳套武器</t>
    <phoneticPr fontId="2" type="noConversion"/>
  </si>
  <si>
    <t>头盔制作</t>
    <phoneticPr fontId="2" type="noConversion"/>
  </si>
  <si>
    <t>帽类制作</t>
    <phoneticPr fontId="2" type="noConversion"/>
  </si>
  <si>
    <t>手套制作</t>
    <phoneticPr fontId="2" type="noConversion"/>
  </si>
  <si>
    <t>盾牌制作</t>
    <phoneticPr fontId="2" type="noConversion"/>
  </si>
  <si>
    <t>鞋类制作</t>
    <phoneticPr fontId="2" type="noConversion"/>
  </si>
  <si>
    <t>衣袍制作</t>
    <phoneticPr fontId="2" type="noConversion"/>
  </si>
  <si>
    <t>皮甲制作</t>
    <phoneticPr fontId="2" type="noConversion"/>
  </si>
  <si>
    <t>盔甲制作</t>
    <phoneticPr fontId="2" type="noConversion"/>
  </si>
  <si>
    <t>71~75</t>
    <phoneticPr fontId="2" type="noConversion"/>
  </si>
  <si>
    <t>76~80</t>
    <phoneticPr fontId="2" type="noConversion"/>
  </si>
  <si>
    <t>81~85</t>
    <phoneticPr fontId="2" type="noConversion"/>
  </si>
  <si>
    <t>MP1500</t>
    <phoneticPr fontId="2" type="noConversion"/>
  </si>
  <si>
    <t>MP1600</t>
    <phoneticPr fontId="2" type="noConversion"/>
  </si>
  <si>
    <t>暗抗性</t>
  </si>
  <si>
    <t>暗</t>
  </si>
  <si>
    <t>暗湛宝刀</t>
  </si>
  <si>
    <t>圣诞老人</t>
    <phoneticPr fontId="2" type="noConversion"/>
  </si>
  <si>
    <t>七级封印石</t>
  </si>
  <si>
    <t>第2关</t>
  </si>
  <si>
    <t>第3关</t>
  </si>
  <si>
    <t>第4关</t>
  </si>
  <si>
    <t>第5关</t>
  </si>
  <si>
    <t>第6关</t>
  </si>
  <si>
    <t>第2关游乐券</t>
  </si>
  <si>
    <t>第3关游乐券</t>
  </si>
  <si>
    <t>第4关游乐券</t>
  </si>
  <si>
    <t>第5关游乐券</t>
  </si>
  <si>
    <t>第6关游乐券</t>
  </si>
  <si>
    <t>游乐券</t>
    <phoneticPr fontId="2" type="noConversion"/>
  </si>
  <si>
    <t>→六奖领奖单</t>
    <phoneticPr fontId="2" type="noConversion"/>
  </si>
  <si>
    <t>→五奖领奖单</t>
    <phoneticPr fontId="2" type="noConversion"/>
  </si>
  <si>
    <t>→四奖领奖单</t>
    <phoneticPr fontId="2" type="noConversion"/>
  </si>
  <si>
    <t>除卡片娃娃其他都不掉</t>
    <phoneticPr fontId="2" type="noConversion"/>
  </si>
  <si>
    <t>→三奖领奖单</t>
    <phoneticPr fontId="2" type="noConversion"/>
  </si>
  <si>
    <t>→二奖领奖单</t>
    <phoneticPr fontId="2" type="noConversion"/>
  </si>
  <si>
    <t>→头奖领奖单</t>
    <phoneticPr fontId="2" type="noConversion"/>
  </si>
  <si>
    <t>→安慰奖领奖单</t>
    <phoneticPr fontId="2" type="noConversion"/>
  </si>
  <si>
    <t>特奖领奖单</t>
    <phoneticPr fontId="2" type="noConversion"/>
  </si>
  <si>
    <t>魅</t>
    <phoneticPr fontId="2" type="noConversion"/>
  </si>
  <si>
    <t>桃乐蒂</t>
    <phoneticPr fontId="2" type="noConversion"/>
  </si>
  <si>
    <t>河童</t>
  </si>
  <si>
    <t>波浪烟火</t>
  </si>
  <si>
    <t>大邪鬼</t>
  </si>
  <si>
    <t>石天狗</t>
  </si>
  <si>
    <t>白云天狗</t>
  </si>
  <si>
    <t>竹之鬼</t>
  </si>
  <si>
    <t>抢钱鳄鱼</t>
  </si>
  <si>
    <t>小白鬼</t>
  </si>
  <si>
    <t>银狐忍者</t>
  </si>
  <si>
    <t>顽皮鬼</t>
  </si>
  <si>
    <t>青之鬼</t>
  </si>
  <si>
    <t>天之鬼</t>
  </si>
  <si>
    <t>地狱鲤鱼</t>
  </si>
  <si>
    <t>软皮书</t>
    <phoneticPr fontId="2" type="noConversion"/>
  </si>
  <si>
    <t>日常生活百科</t>
    <phoneticPr fontId="2" type="noConversion"/>
  </si>
  <si>
    <t>魔力字典</t>
    <phoneticPr fontId="2" type="noConversion"/>
  </si>
  <si>
    <t>魔法百科全书</t>
    <phoneticPr fontId="2" type="noConversion"/>
  </si>
  <si>
    <t>66*36</t>
    <phoneticPr fontId="2" type="noConversion"/>
  </si>
  <si>
    <t>恶魔石原石</t>
    <phoneticPr fontId="2" type="noConversion"/>
  </si>
  <si>
    <t>浪天狗</t>
    <phoneticPr fontId="2" type="noConversion"/>
  </si>
  <si>
    <t>白银种子</t>
    <phoneticPr fontId="2" type="noConversion"/>
  </si>
  <si>
    <t>绿玉髓原石</t>
    <phoneticPr fontId="2" type="noConversion"/>
  </si>
  <si>
    <t>村之任意门</t>
    <phoneticPr fontId="2" type="noConversion"/>
  </si>
  <si>
    <t>白宝石原石</t>
    <phoneticPr fontId="2" type="noConversion"/>
  </si>
  <si>
    <t>宠物甜心糖</t>
    <phoneticPr fontId="2" type="noConversion"/>
  </si>
  <si>
    <t>抢钱鳄鱼</t>
    <phoneticPr fontId="2" type="noConversion"/>
  </si>
  <si>
    <t>解毒剂</t>
    <phoneticPr fontId="2" type="noConversion"/>
  </si>
  <si>
    <t>蓝玉髓原石</t>
    <phoneticPr fontId="2" type="noConversion"/>
  </si>
  <si>
    <t>黄金宝箱</t>
    <phoneticPr fontId="2" type="noConversion"/>
  </si>
  <si>
    <t>元素结晶原石</t>
    <phoneticPr fontId="2" type="noConversion"/>
  </si>
  <si>
    <t>玻璃种子</t>
    <phoneticPr fontId="2" type="noConversion"/>
  </si>
  <si>
    <t>金光企鹅</t>
    <phoneticPr fontId="2" type="noConversion"/>
  </si>
  <si>
    <t>力量宝石</t>
    <phoneticPr fontId="2" type="noConversion"/>
  </si>
  <si>
    <t>宅配服务券</t>
    <phoneticPr fontId="2" type="noConversion"/>
  </si>
  <si>
    <t>隐居剑客</t>
    <phoneticPr fontId="2" type="noConversion"/>
  </si>
  <si>
    <t>木叶狐忍者</t>
    <phoneticPr fontId="2" type="noConversion"/>
  </si>
  <si>
    <t>银行贵宾卡</t>
    <phoneticPr fontId="2" type="noConversion"/>
  </si>
  <si>
    <t>竹之鬼</t>
    <phoneticPr fontId="2" type="noConversion"/>
  </si>
  <si>
    <t>木、土、水、火</t>
    <phoneticPr fontId="2" type="noConversion"/>
  </si>
  <si>
    <t>金、水、火</t>
    <phoneticPr fontId="2" type="noConversion"/>
  </si>
  <si>
    <t>妖魔石原石</t>
    <phoneticPr fontId="2" type="noConversion"/>
  </si>
  <si>
    <t>超级传送粉末</t>
    <phoneticPr fontId="2" type="noConversion"/>
  </si>
  <si>
    <t>青草鲤鱼</t>
    <phoneticPr fontId="2" type="noConversion"/>
  </si>
  <si>
    <t>绿天狗</t>
    <phoneticPr fontId="2" type="noConversion"/>
  </si>
  <si>
    <t>武器降级涂料</t>
    <phoneticPr fontId="2" type="noConversion"/>
  </si>
  <si>
    <t>绿宝石原石</t>
    <phoneticPr fontId="2" type="noConversion"/>
  </si>
  <si>
    <t>遁地狐忍者</t>
    <phoneticPr fontId="2" type="noConversion"/>
  </si>
  <si>
    <t>石天狗</t>
    <phoneticPr fontId="2" type="noConversion"/>
  </si>
  <si>
    <t>属性捣蛋药丸</t>
    <phoneticPr fontId="2" type="noConversion"/>
  </si>
  <si>
    <t>咖啡鲤鱼</t>
    <phoneticPr fontId="2" type="noConversion"/>
  </si>
  <si>
    <t>神秘石原石</t>
    <phoneticPr fontId="2" type="noConversion"/>
  </si>
  <si>
    <t>捣蛋药丸</t>
    <phoneticPr fontId="2" type="noConversion"/>
  </si>
  <si>
    <t>商店贵宾卡</t>
    <phoneticPr fontId="2" type="noConversion"/>
  </si>
  <si>
    <t>敏捷宝石</t>
    <phoneticPr fontId="2" type="noConversion"/>
  </si>
  <si>
    <t>青铜种子</t>
    <phoneticPr fontId="2" type="noConversion"/>
  </si>
  <si>
    <t>神灯精灵</t>
    <phoneticPr fontId="2" type="noConversion"/>
  </si>
  <si>
    <t>游泳企鹅</t>
    <phoneticPr fontId="2" type="noConversion"/>
  </si>
  <si>
    <t>水母</t>
    <phoneticPr fontId="2" type="noConversion"/>
  </si>
  <si>
    <t>灵魂石原石</t>
    <phoneticPr fontId="2" type="noConversion"/>
  </si>
  <si>
    <t>防具降级涂料</t>
    <phoneticPr fontId="2" type="noConversion"/>
  </si>
  <si>
    <t>路娜结石原石</t>
    <phoneticPr fontId="2" type="noConversion"/>
  </si>
  <si>
    <t>青之鬼</t>
    <phoneticPr fontId="2" type="noConversion"/>
  </si>
  <si>
    <t>红玉髓原石</t>
    <phoneticPr fontId="2" type="noConversion"/>
  </si>
  <si>
    <t>暴力小鬼</t>
    <phoneticPr fontId="2" type="noConversion"/>
  </si>
  <si>
    <t>醉天狗</t>
    <phoneticPr fontId="2" type="noConversion"/>
  </si>
  <si>
    <t>红宝石原石</t>
    <phoneticPr fontId="2" type="noConversion"/>
  </si>
  <si>
    <t>红莲鲤鱼</t>
    <phoneticPr fontId="2" type="noConversion"/>
  </si>
  <si>
    <t>宠物亲亲糖</t>
    <phoneticPr fontId="2" type="noConversion"/>
  </si>
  <si>
    <t>鬼岛</t>
    <phoneticPr fontId="2" type="noConversion"/>
  </si>
  <si>
    <t>虎之原</t>
    <phoneticPr fontId="2" type="noConversion"/>
  </si>
  <si>
    <t>61~70</t>
    <phoneticPr fontId="2" type="noConversion"/>
  </si>
  <si>
    <t>71~80</t>
    <phoneticPr fontId="2" type="noConversion"/>
  </si>
  <si>
    <t>鬼之殿B1</t>
    <phoneticPr fontId="2" type="noConversion"/>
  </si>
  <si>
    <t>81~90</t>
    <phoneticPr fontId="2" type="noConversion"/>
  </si>
  <si>
    <t>鬼之殿B2</t>
    <phoneticPr fontId="2" type="noConversion"/>
  </si>
  <si>
    <t>91~100</t>
    <phoneticPr fontId="2" type="noConversion"/>
  </si>
  <si>
    <t>鬼之殿B3</t>
    <phoneticPr fontId="2" type="noConversion"/>
  </si>
  <si>
    <t>101~110</t>
    <phoneticPr fontId="2" type="noConversion"/>
  </si>
  <si>
    <t>雾张之海B1</t>
    <phoneticPr fontId="2" type="noConversion"/>
  </si>
  <si>
    <t>雾张之海B2</t>
    <phoneticPr fontId="2" type="noConversion"/>
  </si>
  <si>
    <t>龙宫1F</t>
    <phoneticPr fontId="2" type="noConversion"/>
  </si>
  <si>
    <t>龙宫2F</t>
    <phoneticPr fontId="2" type="noConversion"/>
  </si>
  <si>
    <t>111~120</t>
    <phoneticPr fontId="2" type="noConversion"/>
  </si>
  <si>
    <t>龙宫3F</t>
    <phoneticPr fontId="2" type="noConversion"/>
  </si>
  <si>
    <t>121~130</t>
    <phoneticPr fontId="2" type="noConversion"/>
  </si>
  <si>
    <t>游乐场挑战规则</t>
    <phoneticPr fontId="2" type="noConversion"/>
  </si>
  <si>
    <t>红玉髓原石、白银种子、宅配服务券</t>
    <phoneticPr fontId="2" type="noConversion"/>
  </si>
  <si>
    <t>红宝石原石、恶魔石原石、白银种子、捣蛋药丸</t>
    <phoneticPr fontId="2" type="noConversion"/>
  </si>
  <si>
    <t>恶魔石原石、元素结晶原石、灵魂石原石、黄金种子、防具降级涂料</t>
    <phoneticPr fontId="2" type="noConversion"/>
  </si>
  <si>
    <t>恶魔石原石、宠物亲亲糖、波浪烟火</t>
    <phoneticPr fontId="2" type="noConversion"/>
  </si>
  <si>
    <t>蓝玉髓原石、神秘石原石、元素结晶原石、玻璃种子</t>
    <phoneticPr fontId="2" type="noConversion"/>
  </si>
  <si>
    <t>幻兽属性</t>
    <phoneticPr fontId="2" type="noConversion"/>
  </si>
  <si>
    <t>门之迷宫B1</t>
  </si>
  <si>
    <t>6~10</t>
    <phoneticPr fontId="2" type="noConversion"/>
  </si>
  <si>
    <t>罗比特平原</t>
    <phoneticPr fontId="2" type="noConversion"/>
  </si>
  <si>
    <t>31~40</t>
    <phoneticPr fontId="2" type="noConversion"/>
  </si>
  <si>
    <t>21~30</t>
    <phoneticPr fontId="2" type="noConversion"/>
  </si>
  <si>
    <t>41~50</t>
    <phoneticPr fontId="2" type="noConversion"/>
  </si>
  <si>
    <t>玫瑰园</t>
    <phoneticPr fontId="2" type="noConversion"/>
  </si>
  <si>
    <t>扑克花园</t>
    <phoneticPr fontId="2" type="noConversion"/>
  </si>
  <si>
    <t>66~70</t>
    <phoneticPr fontId="2" type="noConversion"/>
  </si>
  <si>
    <t>土、火</t>
    <phoneticPr fontId="2" type="noConversion"/>
  </si>
  <si>
    <t>金、水</t>
    <phoneticPr fontId="2" type="noConversion"/>
  </si>
  <si>
    <t>光、暗</t>
  </si>
  <si>
    <t>光、暗</t>
    <phoneticPr fontId="2" type="noConversion"/>
  </si>
  <si>
    <t>木、水</t>
    <phoneticPr fontId="2" type="noConversion"/>
  </si>
  <si>
    <t>木、火</t>
    <phoneticPr fontId="2" type="noConversion"/>
  </si>
  <si>
    <t>土、火、暗</t>
    <phoneticPr fontId="2" type="noConversion"/>
  </si>
  <si>
    <t>木、水、光</t>
    <phoneticPr fontId="2" type="noConversion"/>
  </si>
  <si>
    <t>金、土、水</t>
    <phoneticPr fontId="2" type="noConversion"/>
  </si>
  <si>
    <t>飞鱼角</t>
    <phoneticPr fontId="2" type="noConversion"/>
  </si>
  <si>
    <t>6~12</t>
    <phoneticPr fontId="2" type="noConversion"/>
  </si>
  <si>
    <t>空中宫殿1F</t>
    <phoneticPr fontId="2" type="noConversion"/>
  </si>
  <si>
    <t>空中宫殿2F</t>
  </si>
  <si>
    <t>空中宫殿3F</t>
  </si>
  <si>
    <t>8~12</t>
    <phoneticPr fontId="2" type="noConversion"/>
  </si>
  <si>
    <t>13~18</t>
    <phoneticPr fontId="2" type="noConversion"/>
  </si>
  <si>
    <t>19~25</t>
    <phoneticPr fontId="2" type="noConversion"/>
  </si>
  <si>
    <t>16~21</t>
  </si>
  <si>
    <t>21~25</t>
    <phoneticPr fontId="2" type="noConversion"/>
  </si>
  <si>
    <t>迦兰谷地</t>
    <phoneticPr fontId="2" type="noConversion"/>
  </si>
  <si>
    <t>西里亚高原</t>
    <phoneticPr fontId="2" type="noConversion"/>
  </si>
  <si>
    <t>卡拉斯山区</t>
    <phoneticPr fontId="2" type="noConversion"/>
  </si>
  <si>
    <t>金、土</t>
    <phoneticPr fontId="2" type="noConversion"/>
  </si>
  <si>
    <t>以利暗沙漠</t>
    <phoneticPr fontId="2" type="noConversion"/>
  </si>
  <si>
    <t>金、土、水、火</t>
    <phoneticPr fontId="2" type="noConversion"/>
  </si>
  <si>
    <t>金、土、火</t>
    <phoneticPr fontId="2" type="noConversion"/>
  </si>
  <si>
    <t>31~35</t>
    <phoneticPr fontId="2" type="noConversion"/>
  </si>
  <si>
    <t>木、水</t>
    <phoneticPr fontId="2" type="noConversion"/>
  </si>
  <si>
    <t>金、土</t>
    <phoneticPr fontId="2" type="noConversion"/>
  </si>
  <si>
    <t>金、水</t>
    <phoneticPr fontId="2" type="noConversion"/>
  </si>
  <si>
    <t>木、火</t>
    <phoneticPr fontId="2" type="noConversion"/>
  </si>
  <si>
    <t>41~47</t>
    <phoneticPr fontId="2" type="noConversion"/>
  </si>
  <si>
    <t>木、光、暗</t>
    <phoneticPr fontId="2" type="noConversion"/>
  </si>
  <si>
    <t>46~56</t>
    <phoneticPr fontId="2" type="noConversion"/>
  </si>
  <si>
    <t>16~20</t>
    <phoneticPr fontId="2" type="noConversion"/>
  </si>
  <si>
    <t>41~45</t>
    <phoneticPr fontId="2" type="noConversion"/>
  </si>
  <si>
    <t>23~26</t>
    <phoneticPr fontId="2" type="noConversion"/>
  </si>
  <si>
    <t>白玫瑰、绵绵狗、墨汁毛虫</t>
    <phoneticPr fontId="2" type="noConversion"/>
  </si>
  <si>
    <t>挖土虫、火猫鹰</t>
    <phoneticPr fontId="2" type="noConversion"/>
  </si>
  <si>
    <t>金盏菊、爱水虎</t>
    <phoneticPr fontId="2" type="noConversion"/>
  </si>
  <si>
    <r>
      <t>三月兔、微笑猫咪、</t>
    </r>
    <r>
      <rPr>
        <sz val="10"/>
        <color indexed="10"/>
        <rFont val="华文细黑"/>
        <family val="3"/>
        <charset val="134"/>
      </rPr>
      <t>蓝凤凰</t>
    </r>
    <phoneticPr fontId="2" type="noConversion"/>
  </si>
  <si>
    <t>木菊、啃木虫、木铃兰、蓝玫瑰、水铃兰</t>
    <phoneticPr fontId="2" type="noConversion"/>
  </si>
  <si>
    <t>木铃兰、木头猫咪、火鸟、暴力兔</t>
    <phoneticPr fontId="2" type="noConversion"/>
  </si>
  <si>
    <t>土黄菊、暴走猫、黑铃兰</t>
    <phoneticPr fontId="2" type="noConversion"/>
  </si>
  <si>
    <t>66~75</t>
    <phoneticPr fontId="2" type="noConversion"/>
  </si>
  <si>
    <r>
      <t>木玫瑰、水扑克、神圣士兵、</t>
    </r>
    <r>
      <rPr>
        <sz val="10"/>
        <color indexed="10"/>
        <rFont val="华文细黑"/>
        <family val="3"/>
        <charset val="134"/>
      </rPr>
      <t>金兰花</t>
    </r>
    <phoneticPr fontId="2" type="noConversion"/>
  </si>
  <si>
    <t>金光士兵、坚强士兵、水漾菊</t>
    <phoneticPr fontId="2" type="noConversion"/>
  </si>
  <si>
    <t>金度鸟、水狗狗</t>
    <phoneticPr fontId="2" type="noConversion"/>
  </si>
  <si>
    <t>白猫、黑兔</t>
    <phoneticPr fontId="2" type="noConversion"/>
  </si>
  <si>
    <t>金壳蛛、水狗狗</t>
    <phoneticPr fontId="2" type="noConversion"/>
  </si>
  <si>
    <t>金、土、光、暗</t>
    <phoneticPr fontId="2" type="noConversion"/>
  </si>
  <si>
    <t>爬木蝎、法亚象</t>
    <phoneticPr fontId="2" type="noConversion"/>
  </si>
  <si>
    <t>金骆驼、沙漠毒蝎、水鸠兽、法亚象</t>
    <phoneticPr fontId="2" type="noConversion"/>
  </si>
  <si>
    <t>金Q兽、沙漠毒蝎、沙土巨魔、法亚象</t>
    <phoneticPr fontId="2" type="noConversion"/>
  </si>
  <si>
    <t>水晶原石、攻击宝石、防御宝石、命中宝石、娃娃盒</t>
    <phoneticPr fontId="2" type="noConversion"/>
  </si>
  <si>
    <r>
      <t>金Q兽、沙漠毒蝎、闪光精灵、暗Q兽、贪心骆驼、</t>
    </r>
    <r>
      <rPr>
        <sz val="10"/>
        <color indexed="10"/>
        <rFont val="华文细黑"/>
        <family val="3"/>
        <charset val="134"/>
      </rPr>
      <t>光雷兽</t>
    </r>
    <phoneticPr fontId="2" type="noConversion"/>
  </si>
  <si>
    <t>木鸠兽、水Q兽</t>
    <phoneticPr fontId="2" type="noConversion"/>
  </si>
  <si>
    <t>26~35</t>
    <phoneticPr fontId="2" type="noConversion"/>
  </si>
  <si>
    <t>守护天使、蝎子、暗Q兽</t>
    <phoneticPr fontId="2" type="noConversion"/>
  </si>
  <si>
    <t>金属蝎、土Q兽</t>
    <phoneticPr fontId="2" type="noConversion"/>
  </si>
  <si>
    <t>白骆驼、光Q兽、达克象、暗影蝎</t>
    <phoneticPr fontId="2" type="noConversion"/>
  </si>
  <si>
    <t>本土天后、麻辣骆驼</t>
    <phoneticPr fontId="2" type="noConversion"/>
  </si>
  <si>
    <t>骆驼、水鸠兽</t>
    <phoneticPr fontId="2" type="noConversion"/>
  </si>
  <si>
    <t>拔木象、火Q兽</t>
    <phoneticPr fontId="2" type="noConversion"/>
  </si>
  <si>
    <t>金骆驼、水鸠兽</t>
    <phoneticPr fontId="2" type="noConversion"/>
  </si>
  <si>
    <t>木鸠兽、水鸠兽</t>
    <phoneticPr fontId="2" type="noConversion"/>
  </si>
  <si>
    <t>黄金象、妮莎骆驼</t>
    <phoneticPr fontId="2" type="noConversion"/>
  </si>
  <si>
    <t>力量宝石、幸运宝石、求婚戒台</t>
    <phoneticPr fontId="2" type="noConversion"/>
  </si>
  <si>
    <t>黄金象、冰蝎</t>
    <phoneticPr fontId="2" type="noConversion"/>
  </si>
  <si>
    <t>黄金云、狮鸠兽、光云</t>
    <phoneticPr fontId="2" type="noConversion"/>
  </si>
  <si>
    <t>金、土、光</t>
    <phoneticPr fontId="2" type="noConversion"/>
  </si>
  <si>
    <t>银行贵宾卡、属性捣蛋药丸</t>
    <phoneticPr fontId="2" type="noConversion"/>
  </si>
  <si>
    <r>
      <t>阴森魔女、火鸠兽、</t>
    </r>
    <r>
      <rPr>
        <sz val="10"/>
        <color indexed="10"/>
        <rFont val="华文细黑"/>
        <family val="3"/>
        <charset val="134"/>
      </rPr>
      <t>水灯巨魔</t>
    </r>
    <phoneticPr fontId="2" type="noConversion"/>
  </si>
  <si>
    <t>木Q兽、巨角蝎、暗章鱼</t>
    <phoneticPr fontId="2" type="noConversion"/>
  </si>
  <si>
    <t>木Q兽、爱水骆驼</t>
    <phoneticPr fontId="2" type="noConversion"/>
  </si>
  <si>
    <t>51~55</t>
    <phoneticPr fontId="2" type="noConversion"/>
  </si>
  <si>
    <r>
      <t>地缚灵、岩魔人、水鬼、血骷髅、赤焰巨人、</t>
    </r>
    <r>
      <rPr>
        <sz val="10"/>
        <color indexed="10"/>
        <rFont val="华文细黑"/>
        <family val="3"/>
        <charset val="134"/>
      </rPr>
      <t>小天使</t>
    </r>
    <phoneticPr fontId="2" type="noConversion"/>
  </si>
  <si>
    <t>土、水、火</t>
    <phoneticPr fontId="2" type="noConversion"/>
  </si>
  <si>
    <r>
      <t>神灯精灵、拜金魔女、土象、水鬼、火幽灵、</t>
    </r>
    <r>
      <rPr>
        <sz val="10"/>
        <color indexed="10"/>
        <rFont val="华文细黑"/>
        <family val="3"/>
        <charset val="134"/>
      </rPr>
      <t>暗夜兽</t>
    </r>
    <phoneticPr fontId="2" type="noConversion"/>
  </si>
  <si>
    <t>金、土、水、火</t>
    <phoneticPr fontId="2" type="noConversion"/>
  </si>
  <si>
    <t>红宝石原石、绿宝石原石、蓝宝石原石、青铜种子、黑钢种子、攻击宝石</t>
    <phoneticPr fontId="2" type="noConversion"/>
  </si>
  <si>
    <t>火、光、暗</t>
    <phoneticPr fontId="2" type="noConversion"/>
  </si>
  <si>
    <t>白宝石原石、钻石种子、珍珠种子、神奇合成券、金稳、水稳</t>
    <phoneticPr fontId="2" type="noConversion"/>
  </si>
  <si>
    <t>51~56</t>
    <phoneticPr fontId="2" type="noConversion"/>
  </si>
  <si>
    <t>土、火、光、暗</t>
    <phoneticPr fontId="2" type="noConversion"/>
  </si>
  <si>
    <t>属性调整药丸、光稳</t>
    <phoneticPr fontId="2" type="noConversion"/>
  </si>
  <si>
    <t>土角兽、暴力雪怪、神气狮鸠、暗星</t>
    <phoneticPr fontId="2" type="noConversion"/>
  </si>
  <si>
    <t>红龟、光乌贼、暗精灵、黑心魔</t>
    <phoneticPr fontId="2" type="noConversion"/>
  </si>
  <si>
    <r>
      <t>铁甲狮鸠、金属魔、蓝恶魔、</t>
    </r>
    <r>
      <rPr>
        <sz val="10"/>
        <color indexed="10"/>
        <rFont val="华文细黑"/>
        <family val="3"/>
        <charset val="134"/>
      </rPr>
      <t>馒头象</t>
    </r>
    <phoneticPr fontId="2" type="noConversion"/>
  </si>
  <si>
    <t>玛瑙原石、翡翠种子、智慧宝石、忘情水、土稳、火稳</t>
    <phoneticPr fontId="2" type="noConversion"/>
  </si>
  <si>
    <t>绿宝石原石、娃娃盒</t>
    <phoneticPr fontId="2" type="noConversion"/>
  </si>
  <si>
    <t>木、土、火</t>
    <phoneticPr fontId="2" type="noConversion"/>
  </si>
  <si>
    <t>木Q兽、绿恶魔、洁净天使、水水魔女、大象、蝎子、赤焰巨人</t>
    <phoneticPr fontId="2" type="noConversion"/>
  </si>
  <si>
    <t>黄宝石原石、玻璃种子、敏捷宝石、银行贵宾卡、木稳</t>
    <phoneticPr fontId="2" type="noConversion"/>
  </si>
  <si>
    <t>木、水、火</t>
    <phoneticPr fontId="2" type="noConversion"/>
  </si>
  <si>
    <t>神灯精灵、金属魔、绿恶魔、绿怕啃、本土天后、岩魔人、大象、汲水蜂、法亚象、火枫</t>
    <phoneticPr fontId="2" type="noConversion"/>
  </si>
  <si>
    <t>玛瑙原石、绿宝石原石、黑曜石原石、青铜种子、珍珠种子、玻璃种子、属性调整药丸、神奇合成券、忘情水、娃娃盒、金稳、木稳、土稳、火稳</t>
    <phoneticPr fontId="2" type="noConversion"/>
  </si>
  <si>
    <t>金、木、土、水、火</t>
    <phoneticPr fontId="2" type="noConversion"/>
  </si>
  <si>
    <r>
      <t>希望天使、巨木精灵、狮鸠兽、岩魔人、火Q兽、辣手魔女、</t>
    </r>
    <r>
      <rPr>
        <sz val="10"/>
        <color indexed="10"/>
        <rFont val="华文细黑"/>
        <family val="3"/>
        <charset val="134"/>
      </rPr>
      <t>死光精灵</t>
    </r>
    <phoneticPr fontId="2" type="noConversion"/>
  </si>
  <si>
    <r>
      <t>哈尼蜂、绿抠拉、游泳企鹅、</t>
    </r>
    <r>
      <rPr>
        <sz val="10"/>
        <color indexed="10"/>
        <rFont val="华文细黑"/>
        <family val="3"/>
        <charset val="134"/>
      </rPr>
      <t>火烧抠拉</t>
    </r>
    <phoneticPr fontId="2" type="noConversion"/>
  </si>
  <si>
    <t>黄宝石原石、青铜种子、敏捷宝石、魅力宝石、银行贵宾卡、求婚戒台</t>
    <phoneticPr fontId="2" type="noConversion"/>
  </si>
  <si>
    <t>金、木、水</t>
    <phoneticPr fontId="2" type="noConversion"/>
  </si>
  <si>
    <t>哈尼蜂、绿抠拉、游泳企鹅</t>
    <phoneticPr fontId="2" type="noConversion"/>
  </si>
  <si>
    <t>黄宝石原石、青铜种子、敏捷宝石、幸运宝石、银行贵宾卡、娃娃盒</t>
    <phoneticPr fontId="2" type="noConversion"/>
  </si>
  <si>
    <t>绿抠拉、游泳企鹅、万圣节炸弹</t>
    <phoneticPr fontId="2" type="noConversion"/>
  </si>
  <si>
    <t>酸美哆、挖土大可兽、万圣节炸弹</t>
    <phoneticPr fontId="2" type="noConversion"/>
  </si>
  <si>
    <t>绿宝石原石、红宝石原石、幸运宝石、神奇合成券、银行贵宾卡、娃娃盒</t>
    <phoneticPr fontId="2" type="noConversion"/>
  </si>
  <si>
    <t>金、土、火</t>
    <phoneticPr fontId="2" type="noConversion"/>
  </si>
  <si>
    <r>
      <t>摇钱树、挖土大可兽、暴暴企鹅、</t>
    </r>
    <r>
      <rPr>
        <sz val="10"/>
        <color indexed="10"/>
        <rFont val="华文细黑"/>
        <family val="3"/>
        <charset val="134"/>
      </rPr>
      <t>光美哆</t>
    </r>
    <phoneticPr fontId="2" type="noConversion"/>
  </si>
  <si>
    <t>红宝石原石、力量宝石、神奇合成卷、金稳</t>
    <phoneticPr fontId="2" type="noConversion"/>
  </si>
  <si>
    <t>摇钱树、土怕啃、光脚大可兽、臭美哆</t>
    <phoneticPr fontId="2" type="noConversion"/>
  </si>
  <si>
    <t>蓝宝石原石、青铜种子、体质宝石、神奇合成卷、金稳、暗稳</t>
    <phoneticPr fontId="2" type="noConversion"/>
  </si>
  <si>
    <t>光脚大可兽、小白蜂、臭美哆</t>
    <phoneticPr fontId="2" type="noConversion"/>
  </si>
  <si>
    <t>蓝宝石原石、青铜种子、神奇合成卷、光稳、暗稳</t>
    <phoneticPr fontId="2" type="noConversion"/>
  </si>
  <si>
    <r>
      <t>绿怕啃、灌水树、法亚女妖、</t>
    </r>
    <r>
      <rPr>
        <sz val="10"/>
        <color indexed="10"/>
        <rFont val="华文细黑"/>
        <family val="3"/>
        <charset val="134"/>
      </rPr>
      <t>青草企鹅</t>
    </r>
    <phoneticPr fontId="2" type="noConversion"/>
  </si>
  <si>
    <t>属性调整药丸、攻击宝石、木稳、水稳</t>
    <phoneticPr fontId="2" type="noConversion"/>
  </si>
  <si>
    <t>白宝石原石、攻击宝石、属性调整药丸、神奇合成券、木稳</t>
    <phoneticPr fontId="2" type="noConversion"/>
  </si>
  <si>
    <t>木、土、火</t>
    <phoneticPr fontId="2" type="noConversion"/>
  </si>
  <si>
    <t>绿怕啃、钻洞企鹅、法亚女妖</t>
    <phoneticPr fontId="2" type="noConversion"/>
  </si>
  <si>
    <t>金怕啃、钻洞企鹅、火枫</t>
    <phoneticPr fontId="2" type="noConversion"/>
  </si>
  <si>
    <t>白宝石原石、命中宝石、神奇合成券、火稳、娃娃盒</t>
    <phoneticPr fontId="2" type="noConversion"/>
  </si>
  <si>
    <t>黑曜石原石、青铜种子、命中宝石、神奇合成券、土稳</t>
    <phoneticPr fontId="2" type="noConversion"/>
  </si>
  <si>
    <t>金怕啃、厄斯女妖、汲水蜂</t>
    <phoneticPr fontId="2" type="noConversion"/>
  </si>
  <si>
    <t>青铜种子、防御宝石、属性调整药丸、土稳</t>
    <phoneticPr fontId="2" type="noConversion"/>
  </si>
  <si>
    <t>绿绿大可兽、厄斯女妖、杀手蜂</t>
    <phoneticPr fontId="2" type="noConversion"/>
  </si>
  <si>
    <r>
      <t>南极企鹅、黑森林、</t>
    </r>
    <r>
      <rPr>
        <sz val="10"/>
        <color indexed="10"/>
        <rFont val="华文细黑"/>
        <family val="3"/>
        <charset val="134"/>
      </rPr>
      <t>黑皮怕啃</t>
    </r>
    <phoneticPr fontId="2" type="noConversion"/>
  </si>
  <si>
    <t>红玉髓原石、银行贵宾卡、娃娃盒</t>
    <phoneticPr fontId="2" type="noConversion"/>
  </si>
  <si>
    <t>蓝玉髓原石、黄玉髓原石、青玉髓原石、翡翠种子、娃娃盒</t>
    <phoneticPr fontId="2" type="noConversion"/>
  </si>
  <si>
    <t>金抠拉、土蜂、烧烤大可兽</t>
    <phoneticPr fontId="2" type="noConversion"/>
  </si>
  <si>
    <r>
      <t>金抠拉、土蜂、青美哆、</t>
    </r>
    <r>
      <rPr>
        <sz val="10"/>
        <color indexed="10"/>
        <rFont val="华文细黑"/>
        <family val="3"/>
        <charset val="134"/>
      </rPr>
      <t>浮水大可兽</t>
    </r>
    <phoneticPr fontId="2" type="noConversion"/>
  </si>
  <si>
    <t>蓝玉髓原石、青玉髓原石、翡翠种子、属性调整药丸、娃娃盒</t>
    <phoneticPr fontId="2" type="noConversion"/>
  </si>
  <si>
    <t>高登女妖、叶绿树、青美哆</t>
    <phoneticPr fontId="2" type="noConversion"/>
  </si>
  <si>
    <t>属性调整药丸、金澄水晶、绿光水晶、求婚戒台</t>
    <phoneticPr fontId="2" type="noConversion"/>
  </si>
  <si>
    <t>金、木、水</t>
    <phoneticPr fontId="2" type="noConversion"/>
  </si>
  <si>
    <t>叶绿树、布鲁怕啃、特美哆</t>
    <phoneticPr fontId="2" type="noConversion"/>
  </si>
  <si>
    <t>捉人树、莱特女妖、晚宴企鹅</t>
    <phoneticPr fontId="2" type="noConversion"/>
  </si>
  <si>
    <t>土质水晶、发光水晶、黝黑水晶、求婚戒台</t>
    <phoneticPr fontId="2" type="noConversion"/>
  </si>
  <si>
    <t>土、光、暗</t>
    <phoneticPr fontId="2" type="noConversion"/>
  </si>
  <si>
    <t>力量宝石、智慧宝石、命中宝石、防御宝石、娃娃盒</t>
    <phoneticPr fontId="2" type="noConversion"/>
  </si>
  <si>
    <t>重量杯</t>
    <phoneticPr fontId="2" type="noConversion"/>
  </si>
  <si>
    <t>雪人</t>
    <phoneticPr fontId="2" type="noConversion"/>
  </si>
  <si>
    <t>山猫</t>
    <phoneticPr fontId="2" type="noConversion"/>
  </si>
  <si>
    <t>河马</t>
    <phoneticPr fontId="2" type="noConversion"/>
  </si>
  <si>
    <t>甜甜圈</t>
    <phoneticPr fontId="2" type="noConversion"/>
  </si>
  <si>
    <t>毒蘑菇</t>
    <phoneticPr fontId="2" type="noConversion"/>
  </si>
  <si>
    <t>山楂果</t>
    <phoneticPr fontId="2" type="noConversion"/>
  </si>
  <si>
    <t>葛雷夏村</t>
    <phoneticPr fontId="2" type="noConversion"/>
  </si>
  <si>
    <t>雪天果</t>
    <phoneticPr fontId="2" type="noConversion"/>
  </si>
  <si>
    <t>七彩八角</t>
    <phoneticPr fontId="2" type="noConversion"/>
  </si>
  <si>
    <t>泰坦金属</t>
    <phoneticPr fontId="2" type="noConversion"/>
  </si>
  <si>
    <t>登山小径</t>
    <phoneticPr fontId="2" type="noConversion"/>
  </si>
  <si>
    <t>葛雷夏村郊外</t>
    <phoneticPr fontId="2" type="noConversion"/>
  </si>
  <si>
    <t>艾司伍林地</t>
    <phoneticPr fontId="2" type="noConversion"/>
  </si>
  <si>
    <t>枫果森林</t>
    <phoneticPr fontId="2" type="noConversion"/>
  </si>
  <si>
    <t>宁静冻原</t>
    <phoneticPr fontId="2" type="noConversion"/>
  </si>
  <si>
    <t>冰原洞窟</t>
    <phoneticPr fontId="2" type="noConversion"/>
  </si>
  <si>
    <t>金光企鹅、瓦特女妖、白目抠拉、黑心大可兽</t>
    <phoneticPr fontId="2" type="noConversion"/>
  </si>
  <si>
    <t>金、水、光、暗</t>
    <phoneticPr fontId="2" type="noConversion"/>
  </si>
  <si>
    <t>金属大可兽、伍德女妖、土美哆、瓦特女妖</t>
    <phoneticPr fontId="2" type="noConversion"/>
  </si>
  <si>
    <t>金、木、土、水</t>
    <phoneticPr fontId="2" type="noConversion"/>
  </si>
  <si>
    <t>白头树、达克女妖</t>
    <phoneticPr fontId="2" type="noConversion"/>
  </si>
  <si>
    <t>神秘石原石、玻璃种子、银行贵宾卡</t>
    <phoneticPr fontId="2" type="noConversion"/>
  </si>
  <si>
    <t>金美哆、谷林蜂、蓝抠拉</t>
    <phoneticPr fontId="2" type="noConversion"/>
  </si>
  <si>
    <t>神秘石原石、恶魔石原石、天使石原石、翡翠种子、属性调整药丸、娃娃盒</t>
    <phoneticPr fontId="2" type="noConversion"/>
  </si>
  <si>
    <t>土土抠拉、白皮怕啃、流浪抠拉</t>
    <phoneticPr fontId="2" type="noConversion"/>
  </si>
  <si>
    <t>有特殊属性的乐器装备</t>
    <phoneticPr fontId="2" type="noConversion"/>
  </si>
  <si>
    <t>有特殊属性的书籍装备</t>
    <phoneticPr fontId="2" type="noConversion"/>
  </si>
  <si>
    <t>竹哨</t>
    <phoneticPr fontId="2" type="noConversion"/>
  </si>
  <si>
    <t>木笛</t>
    <phoneticPr fontId="2" type="noConversion"/>
  </si>
  <si>
    <t>响板</t>
    <phoneticPr fontId="2" type="noConversion"/>
  </si>
  <si>
    <t>铁快</t>
    <phoneticPr fontId="2" type="noConversion"/>
  </si>
  <si>
    <t>波浪鼓</t>
    <phoneticPr fontId="2" type="noConversion"/>
  </si>
  <si>
    <t>手摇鼓</t>
    <phoneticPr fontId="2" type="noConversion"/>
  </si>
  <si>
    <t>横笛</t>
    <phoneticPr fontId="2" type="noConversion"/>
  </si>
  <si>
    <t>大地之竖琴</t>
    <phoneticPr fontId="2" type="noConversion"/>
  </si>
  <si>
    <t>健康生活指南</t>
    <phoneticPr fontId="2" type="noConversion"/>
  </si>
  <si>
    <t>森林之陶笛</t>
    <phoneticPr fontId="2" type="noConversion"/>
  </si>
  <si>
    <t>流浪者之书</t>
    <phoneticPr fontId="2" type="noConversion"/>
  </si>
  <si>
    <t>火山之口琴</t>
    <phoneticPr fontId="2" type="noConversion"/>
  </si>
  <si>
    <t>成长之书</t>
    <phoneticPr fontId="2" type="noConversion"/>
  </si>
  <si>
    <t>天空之号角</t>
    <phoneticPr fontId="2" type="noConversion"/>
  </si>
  <si>
    <t>黄金之太鼓</t>
    <phoneticPr fontId="2" type="noConversion"/>
  </si>
  <si>
    <t>混沌之钹</t>
    <phoneticPr fontId="2" type="noConversion"/>
  </si>
  <si>
    <t>银月之三角铁</t>
    <phoneticPr fontId="2" type="noConversion"/>
  </si>
  <si>
    <t>铃鼓</t>
    <phoneticPr fontId="2" type="noConversion"/>
  </si>
  <si>
    <t>排笛</t>
    <phoneticPr fontId="2" type="noConversion"/>
  </si>
  <si>
    <t>四弦琴</t>
    <phoneticPr fontId="2" type="noConversion"/>
  </si>
  <si>
    <t>吉他</t>
    <phoneticPr fontId="2" type="noConversion"/>
  </si>
  <si>
    <t>小喇叭</t>
    <phoneticPr fontId="2" type="noConversion"/>
  </si>
  <si>
    <t>小提琴</t>
    <phoneticPr fontId="2" type="noConversion"/>
  </si>
  <si>
    <t>手风琴</t>
    <phoneticPr fontId="2" type="noConversion"/>
  </si>
  <si>
    <t>瓦斯喇叭</t>
    <phoneticPr fontId="2" type="noConversion"/>
  </si>
  <si>
    <t>超级麦克风</t>
    <phoneticPr fontId="2" type="noConversion"/>
  </si>
  <si>
    <t>龙吟萧</t>
    <phoneticPr fontId="2" type="noConversion"/>
  </si>
  <si>
    <t>彩绘扬琴</t>
    <phoneticPr fontId="2" type="noConversion"/>
  </si>
  <si>
    <t>禅修木鱼</t>
    <phoneticPr fontId="2" type="noConversion"/>
  </si>
  <si>
    <t>菲洛尔金属</t>
    <phoneticPr fontId="2" type="noConversion"/>
  </si>
  <si>
    <t>月影琵琶</t>
    <phoneticPr fontId="2" type="noConversion"/>
  </si>
  <si>
    <t>路加斯金属</t>
    <phoneticPr fontId="2" type="noConversion"/>
  </si>
  <si>
    <t>榉木</t>
    <phoneticPr fontId="2" type="noConversion"/>
  </si>
  <si>
    <t>黄宝石原石、绿宝石原石、蓝玉髓原石</t>
    <phoneticPr fontId="2" type="noConversion"/>
  </si>
  <si>
    <t>绿宝石原石、蓝宝石原石</t>
    <phoneticPr fontId="2" type="noConversion"/>
  </si>
  <si>
    <t>绿宝石原石、蓝宝石原石、黑曜石原石、白银种子</t>
    <phoneticPr fontId="2" type="noConversion"/>
  </si>
  <si>
    <t>玛瑙原石、黄宝石原石、绿宝石原石</t>
    <phoneticPr fontId="2" type="noConversion"/>
  </si>
  <si>
    <t>绿宝石原石、红宝石原石、黑钢种子、暗稳</t>
    <phoneticPr fontId="2" type="noConversion"/>
  </si>
  <si>
    <t>蓝宝石原石、白宝石原石、白银种子、宠物甜心糖、村之任意门</t>
    <phoneticPr fontId="2" type="noConversion"/>
  </si>
  <si>
    <t>黄宝石原石、娃娃盒、土稳</t>
    <phoneticPr fontId="2" type="noConversion"/>
  </si>
  <si>
    <t>红宝石原石、青铜种子、黑钢种子、超级传送粉末、金稳</t>
    <phoneticPr fontId="2" type="noConversion"/>
  </si>
  <si>
    <t>神秘石原石、恶魔石原石、天使石原石、属性调整药丸、神奇合成券、幻兽模具、银行贵宾卡</t>
    <phoneticPr fontId="2" type="noConversion"/>
  </si>
  <si>
    <t>妖魔石原石、元素结晶原石、灵魂石原石、玻璃种子、武器降级涂料、防具降级涂料、幻兽营养剂</t>
    <phoneticPr fontId="2" type="noConversion"/>
  </si>
  <si>
    <t>黄飞猴、挖洞鼬、红毛猿</t>
    <phoneticPr fontId="2" type="noConversion"/>
  </si>
  <si>
    <t>金、土、火</t>
    <phoneticPr fontId="2" type="noConversion"/>
  </si>
  <si>
    <r>
      <t>稻草包、绿尾鸟、花木豹、泡水草包、</t>
    </r>
    <r>
      <rPr>
        <sz val="10"/>
        <color indexed="10"/>
        <rFont val="华文细黑"/>
        <family val="3"/>
        <charset val="134"/>
      </rPr>
      <t>绿草包</t>
    </r>
    <phoneticPr fontId="2" type="noConversion"/>
  </si>
  <si>
    <t>金、木、水</t>
    <phoneticPr fontId="2" type="noConversion"/>
  </si>
  <si>
    <r>
      <t>地狱修士、赤尾鸟、芦苇草人、钢铁机器人、</t>
    </r>
    <r>
      <rPr>
        <sz val="10"/>
        <color indexed="10"/>
        <rFont val="华文细黑"/>
        <family val="3"/>
        <charset val="134"/>
      </rPr>
      <t>超合金机器人</t>
    </r>
    <phoneticPr fontId="2" type="noConversion"/>
  </si>
  <si>
    <t>土、火、光、暗</t>
    <phoneticPr fontId="2" type="noConversion"/>
  </si>
  <si>
    <r>
      <t>木猕猴、跑路鳄鱼、水雷河豚、杀手鳄鱼、</t>
    </r>
    <r>
      <rPr>
        <sz val="10"/>
        <color indexed="10"/>
        <rFont val="华文细黑"/>
        <family val="3"/>
        <charset val="134"/>
      </rPr>
      <t>稻草人</t>
    </r>
    <phoneticPr fontId="2" type="noConversion"/>
  </si>
  <si>
    <t>木、土、水、火</t>
    <phoneticPr fontId="2" type="noConversion"/>
  </si>
  <si>
    <r>
      <t>金钱豹、恶鬼、黄铜机器人、火焰祭司、</t>
    </r>
    <r>
      <rPr>
        <sz val="10"/>
        <color indexed="10"/>
        <rFont val="华文细黑"/>
        <family val="3"/>
        <charset val="134"/>
      </rPr>
      <t>死神</t>
    </r>
    <phoneticPr fontId="2" type="noConversion"/>
  </si>
  <si>
    <t>金、木、土、火</t>
    <phoneticPr fontId="2" type="noConversion"/>
  </si>
  <si>
    <t>白宝石原石、钻石原石、金澄水晶、火稳、强胃散</t>
    <phoneticPr fontId="2" type="noConversion"/>
  </si>
  <si>
    <t>土番鸦、深水炸弹、日光猿、白袍恶灵、臭鼬、乌鸦</t>
    <phoneticPr fontId="2" type="noConversion"/>
  </si>
  <si>
    <t>漂白鳄鱼、烟雾鼬、极道鳄鱼、黑豹</t>
    <phoneticPr fontId="2" type="noConversion"/>
  </si>
  <si>
    <t>刺河豚、水晶机器人、白开水、毒河豚</t>
    <phoneticPr fontId="2" type="noConversion"/>
  </si>
  <si>
    <t>木、水、光、暗</t>
    <phoneticPr fontId="2" type="noConversion"/>
  </si>
  <si>
    <t>钱鼠、威士忌、油水鳄鱼</t>
    <phoneticPr fontId="2" type="noConversion"/>
  </si>
  <si>
    <t>黄玉髓原石、青玉髓原石、神奇合成券、商店贵宾卡、强力解毒剂</t>
    <phoneticPr fontId="2" type="noConversion"/>
  </si>
  <si>
    <t>痞子鳄鱼、蓝眼雀、粉红豹</t>
    <phoneticPr fontId="2" type="noConversion"/>
  </si>
  <si>
    <r>
      <t>金河豚、生啤酒、冷艳豹、</t>
    </r>
    <r>
      <rPr>
        <sz val="10"/>
        <color indexed="10"/>
        <rFont val="华文细黑"/>
        <family val="3"/>
        <charset val="134"/>
      </rPr>
      <t>铁樵夫</t>
    </r>
    <phoneticPr fontId="2" type="noConversion"/>
  </si>
  <si>
    <t>鸡蛋布丁、点水蜻蜓、荧光蜻蜓</t>
    <phoneticPr fontId="2" type="noConversion"/>
  </si>
  <si>
    <r>
      <t>绿蜻蜓、天白冬菇、黑洞独角仙、</t>
    </r>
    <r>
      <rPr>
        <sz val="10"/>
        <color indexed="10"/>
        <rFont val="华文细黑"/>
        <family val="3"/>
        <charset val="134"/>
      </rPr>
      <t>熔岩独角仙</t>
    </r>
    <phoneticPr fontId="2" type="noConversion"/>
  </si>
  <si>
    <r>
      <t>蓝莓布丁、暗夜蜻蜓、</t>
    </r>
    <r>
      <rPr>
        <sz val="10"/>
        <color indexed="10"/>
        <rFont val="华文细黑"/>
        <family val="3"/>
        <charset val="134"/>
      </rPr>
      <t>绿草菇</t>
    </r>
    <phoneticPr fontId="2" type="noConversion"/>
  </si>
  <si>
    <r>
      <t>阳光司瓦诺、化石独角仙、鲍鱼菇、</t>
    </r>
    <r>
      <rPr>
        <sz val="10"/>
        <color indexed="10"/>
        <rFont val="华文细黑"/>
        <family val="3"/>
        <charset val="134"/>
      </rPr>
      <t>坏坏司瓦诺</t>
    </r>
    <phoneticPr fontId="2" type="noConversion"/>
  </si>
  <si>
    <t>绿玉髓原石、神秘石原石、属性调整药丸、宅配服务券、到府收购券、土质水晶、火焰水晶、超级强胃散、强力解毒剂</t>
    <phoneticPr fontId="2" type="noConversion"/>
  </si>
  <si>
    <t>金、木、暗</t>
    <phoneticPr fontId="2" type="noConversion"/>
  </si>
  <si>
    <t>金针菇、柔情司瓦诺、芒果布丁</t>
    <phoneticPr fontId="2" type="noConversion"/>
  </si>
  <si>
    <t>金、水、土</t>
    <phoneticPr fontId="2" type="noConversion"/>
  </si>
  <si>
    <t>蘑菇、热情司瓦诺、牛奶布丁</t>
    <phoneticPr fontId="2" type="noConversion"/>
  </si>
  <si>
    <t>土、火、光</t>
    <phoneticPr fontId="2" type="noConversion"/>
  </si>
  <si>
    <t>木讷司瓦诺、冰山独角仙、红蜻蜓</t>
    <phoneticPr fontId="2" type="noConversion"/>
  </si>
  <si>
    <t>朴实司瓦诺、草莓布丁、正义司瓦诺</t>
    <phoneticPr fontId="2" type="noConversion"/>
  </si>
  <si>
    <t>土蜻蜓、枫叶菇、恒星独角仙</t>
    <phoneticPr fontId="2" type="noConversion"/>
  </si>
  <si>
    <t>金属蜻蜓、梅子布丁、香菇</t>
    <phoneticPr fontId="2" type="noConversion"/>
  </si>
  <si>
    <t>红玉髓原石、钻石原石、神秘石原石、宠物亲亲糖、淡蓝水晶、超级强胃散</t>
    <phoneticPr fontId="2" type="noConversion"/>
  </si>
  <si>
    <t>金、水、光</t>
    <phoneticPr fontId="2" type="noConversion"/>
  </si>
  <si>
    <t>木、光、暗</t>
    <phoneticPr fontId="2" type="noConversion"/>
  </si>
  <si>
    <t>水、暗</t>
    <phoneticPr fontId="2" type="noConversion"/>
  </si>
  <si>
    <t>51~60</t>
    <phoneticPr fontId="2" type="noConversion"/>
  </si>
  <si>
    <t>61~70</t>
    <phoneticPr fontId="2" type="noConversion"/>
  </si>
  <si>
    <t>31~40</t>
    <phoneticPr fontId="2" type="noConversion"/>
  </si>
  <si>
    <t>41~50</t>
    <phoneticPr fontId="2" type="noConversion"/>
  </si>
  <si>
    <t>71~80</t>
    <phoneticPr fontId="2" type="noConversion"/>
  </si>
  <si>
    <t>81~90</t>
    <phoneticPr fontId="2" type="noConversion"/>
  </si>
  <si>
    <t>91~100</t>
    <phoneticPr fontId="2" type="noConversion"/>
  </si>
  <si>
    <t>金壳独角仙、树皮独角仙、焦糖布丁</t>
    <phoneticPr fontId="2" type="noConversion"/>
  </si>
  <si>
    <t>黑曜石原石、神秘石原石、恶魔石原石、幻兽模具、银行贵宾卡、宅配服务券</t>
    <phoneticPr fontId="2" type="noConversion"/>
  </si>
  <si>
    <t>玛瑙原石、宠物甜心糖</t>
    <phoneticPr fontId="2" type="noConversion"/>
  </si>
  <si>
    <t>黄宝石原石、神奇合成券、村之任意门、宅配服务券</t>
    <phoneticPr fontId="2" type="noConversion"/>
  </si>
  <si>
    <t>黑曜石原石、智慧宝石、幻兽营养剂</t>
    <phoneticPr fontId="2" type="noConversion"/>
  </si>
  <si>
    <t>元素结晶原石、玻璃种子、三级封印石</t>
    <phoneticPr fontId="2" type="noConversion"/>
  </si>
  <si>
    <t>绿光水晶</t>
    <phoneticPr fontId="2" type="noConversion"/>
  </si>
  <si>
    <t>木、土</t>
    <phoneticPr fontId="2" type="noConversion"/>
  </si>
  <si>
    <t>丛林剑妖、火烧草包、云雀</t>
    <phoneticPr fontId="2" type="noConversion"/>
  </si>
  <si>
    <t>贪心鬼、苹果汁、滑水鼬</t>
    <phoneticPr fontId="2" type="noConversion"/>
  </si>
  <si>
    <t>穴居猕猴、火焰剑妖</t>
    <phoneticPr fontId="2" type="noConversion"/>
  </si>
  <si>
    <t>神秘宝箱、蓝天剑妖、白银剑妖、勇敢哥布林</t>
    <phoneticPr fontId="2" type="noConversion"/>
  </si>
  <si>
    <t>海底宝箱、咬人箱、狡诈哥布林</t>
    <phoneticPr fontId="2" type="noConversion"/>
  </si>
  <si>
    <t>水、火、暗</t>
    <phoneticPr fontId="2" type="noConversion"/>
  </si>
  <si>
    <t>贪心哥布林、地底宝箱、玄武蜂</t>
    <phoneticPr fontId="2" type="noConversion"/>
  </si>
  <si>
    <t>闪电剑妖、大地哥布林、猜谜箱</t>
    <phoneticPr fontId="2" type="noConversion"/>
  </si>
  <si>
    <t>黄金宝箱、害羞哥布林、恶魔剑妖</t>
    <phoneticPr fontId="2" type="noConversion"/>
  </si>
  <si>
    <t>蓝波哥布林、神圣宝箱</t>
    <phoneticPr fontId="2" type="noConversion"/>
  </si>
  <si>
    <t>水、光</t>
    <phoneticPr fontId="2" type="noConversion"/>
  </si>
  <si>
    <t>金、火、暗</t>
    <phoneticPr fontId="2" type="noConversion"/>
  </si>
  <si>
    <t>木、火、光</t>
    <phoneticPr fontId="2" type="noConversion"/>
  </si>
  <si>
    <t>金、土、暗</t>
    <phoneticPr fontId="2" type="noConversion"/>
  </si>
  <si>
    <t>神秘石原石、元素结晶原石、灵魂石原石、玻璃种子、属性调整药丸、防具降级涂料</t>
    <phoneticPr fontId="2" type="noConversion"/>
  </si>
  <si>
    <t>绿宝石原石、蓝玉髓原石、绿玉髓原石、青铜种子、敏捷宝石、村之任意门、解毒剂</t>
    <phoneticPr fontId="2" type="noConversion"/>
  </si>
  <si>
    <t>白宝石原石、妖魔石原石、宠物甜心糖、超级传送粉末、到府收购券</t>
    <phoneticPr fontId="2" type="noConversion"/>
  </si>
  <si>
    <t>路娜结石原石、玻璃种子、武器降级涂料、到府收购券</t>
    <phoneticPr fontId="2" type="noConversion"/>
  </si>
  <si>
    <t>力量宝石、娃娃盒</t>
    <phoneticPr fontId="2" type="noConversion"/>
  </si>
  <si>
    <t>金、土、水、光</t>
    <phoneticPr fontId="2" type="noConversion"/>
  </si>
  <si>
    <t>发呆哥布林、石像剑妖</t>
    <phoneticPr fontId="2" type="noConversion"/>
  </si>
  <si>
    <t>金、土、火、暗</t>
    <phoneticPr fontId="2" type="noConversion"/>
  </si>
  <si>
    <t>木、水、暗</t>
    <phoneticPr fontId="2" type="noConversion"/>
  </si>
  <si>
    <t>狐忍者</t>
  </si>
  <si>
    <t>刀类武器伤害</t>
  </si>
  <si>
    <t>类武器伤害</t>
  </si>
  <si>
    <t>斧类武器伤害</t>
  </si>
  <si>
    <t>白画战斧</t>
  </si>
  <si>
    <t>随机修士技能</t>
  </si>
  <si>
    <t>修士祈祷技能</t>
  </si>
  <si>
    <t>神之守护技能</t>
  </si>
  <si>
    <t>元素控制技能</t>
  </si>
  <si>
    <t>黄晶魔棒</t>
  </si>
  <si>
    <t>法力点数上限</t>
  </si>
  <si>
    <t>灭天法杖</t>
  </si>
  <si>
    <t>随机武斗家技能</t>
  </si>
  <si>
    <t>黄珀拳套</t>
  </si>
  <si>
    <t>智能拳套</t>
  </si>
  <si>
    <t>武斗家拳技</t>
  </si>
  <si>
    <t>武斗家气功</t>
  </si>
  <si>
    <t>武斗家斗志</t>
  </si>
  <si>
    <t>随机驯兽师技能</t>
  </si>
  <si>
    <t>驯兽师技能</t>
  </si>
  <si>
    <t>智能鞭</t>
  </si>
  <si>
    <t>幻兽知识</t>
  </si>
  <si>
    <t>幻兽师驯兽</t>
  </si>
  <si>
    <t>旅人闪躲技能</t>
  </si>
  <si>
    <t>随机商人技能</t>
  </si>
  <si>
    <t>黄珀算盘</t>
  </si>
  <si>
    <t>幸运</t>
  </si>
  <si>
    <t>商人交易技能</t>
  </si>
  <si>
    <t>商人收集技能</t>
  </si>
  <si>
    <t>深邃算盘</t>
  </si>
  <si>
    <t>提高遇敌机率</t>
  </si>
  <si>
    <t>战斗后经验值</t>
  </si>
  <si>
    <t>散步亲和度</t>
  </si>
  <si>
    <t>战败亲和度</t>
  </si>
  <si>
    <t>魔法装备制造</t>
  </si>
  <si>
    <t>战利品</t>
  </si>
  <si>
    <t>战胜幻兽亲和</t>
  </si>
  <si>
    <t>耐久度</t>
  </si>
  <si>
    <t>玛瑙原石、白宝石原石、红玉髓原石</t>
    <phoneticPr fontId="2" type="noConversion"/>
  </si>
  <si>
    <t>黄宝石原石、红宝石原石、黑曜石原石</t>
    <phoneticPr fontId="2" type="noConversion"/>
  </si>
  <si>
    <t>86~88</t>
    <phoneticPr fontId="2" type="noConversion"/>
  </si>
  <si>
    <t>90~92</t>
  </si>
  <si>
    <t>92~94</t>
  </si>
  <si>
    <t>94~96</t>
    <phoneticPr fontId="2" type="noConversion"/>
  </si>
  <si>
    <t>82~84</t>
    <phoneticPr fontId="2" type="noConversion"/>
  </si>
  <si>
    <t>遗迹地下14F</t>
  </si>
  <si>
    <t>遗迹地下1F</t>
  </si>
  <si>
    <t>遗迹地下2F</t>
  </si>
  <si>
    <t>遗迹地下10F</t>
  </si>
  <si>
    <t>遗迹地下8F</t>
  </si>
  <si>
    <t>秘密古墓B1</t>
  </si>
  <si>
    <t>鼠洞B3</t>
  </si>
  <si>
    <t>挖矿蜥蝪</t>
  </si>
  <si>
    <t>阴暗山洞2</t>
  </si>
  <si>
    <t>暴力娃</t>
  </si>
  <si>
    <t>卷土云</t>
  </si>
  <si>
    <t>姆指花园</t>
  </si>
  <si>
    <t>史盖窝克海B1</t>
  </si>
  <si>
    <t>史来姆迷宫2F</t>
  </si>
  <si>
    <t>短麻衣</t>
  </si>
  <si>
    <t>铜纹袍</t>
  </si>
  <si>
    <t>银麻衣</t>
  </si>
  <si>
    <t>天绒袍</t>
  </si>
  <si>
    <t>神秘法袍</t>
  </si>
  <si>
    <t>大祭司袍</t>
  </si>
  <si>
    <t>大法师袍</t>
  </si>
  <si>
    <t>双色绣金袍</t>
  </si>
  <si>
    <t>金缕衣</t>
  </si>
  <si>
    <t>白金绣丝袍</t>
  </si>
  <si>
    <t>有特殊属性的衣袍</t>
  </si>
  <si>
    <t>黄色法袍</t>
  </si>
  <si>
    <t>绿色法袍</t>
  </si>
  <si>
    <t>红色法袍</t>
  </si>
  <si>
    <t>蓝色法袍</t>
  </si>
  <si>
    <t>白色法袍</t>
  </si>
  <si>
    <t>黑色法袍</t>
  </si>
  <si>
    <t>无色法袍</t>
  </si>
  <si>
    <t>有洞希望法袍</t>
  </si>
  <si>
    <t>有洞龙丝法袍</t>
  </si>
  <si>
    <t>有洞玫瑰法袍</t>
  </si>
  <si>
    <t>妖邪法袍</t>
  </si>
  <si>
    <t>元晶法袍</t>
  </si>
  <si>
    <t>幽魂法袍</t>
  </si>
  <si>
    <t>皮甲制作</t>
  </si>
  <si>
    <t>羊皮外套</t>
  </si>
  <si>
    <t>软皮衣</t>
  </si>
  <si>
    <t>皮甲</t>
  </si>
  <si>
    <t>硬皮甲</t>
  </si>
  <si>
    <t>鹿革甲</t>
  </si>
  <si>
    <t>梅花甲</t>
  </si>
  <si>
    <t>貂皮衣</t>
  </si>
  <si>
    <t>细纹皮甲</t>
  </si>
  <si>
    <t>犀牛皮护甲</t>
  </si>
  <si>
    <t>坚硬皮甲</t>
  </si>
  <si>
    <t>鳄皮护甲</t>
  </si>
  <si>
    <t>复合皮甲</t>
  </si>
  <si>
    <t>硬皮戎装</t>
  </si>
  <si>
    <t>虎皮护甲</t>
  </si>
  <si>
    <t>黄金虎皮甲</t>
  </si>
  <si>
    <t>龙鳞护甲</t>
  </si>
  <si>
    <t>镶金龙鳞甲</t>
  </si>
  <si>
    <t>有特殊属性的皮甲</t>
  </si>
  <si>
    <t>地之守护者</t>
  </si>
  <si>
    <t>木之守护者</t>
  </si>
  <si>
    <t>火之守护者</t>
  </si>
  <si>
    <t>水之守护者</t>
  </si>
  <si>
    <t>金之守护者</t>
  </si>
  <si>
    <t>暗之守护者</t>
  </si>
  <si>
    <t>光之守护者</t>
  </si>
  <si>
    <t>有洞龙纹锁甲</t>
  </si>
  <si>
    <t>有洞米拉链甲</t>
  </si>
  <si>
    <t>有洞金龙戎装</t>
  </si>
  <si>
    <t>龙牙战神甲</t>
  </si>
  <si>
    <t>龙角战神甲</t>
  </si>
  <si>
    <t>龙骨战神装</t>
  </si>
  <si>
    <t>轻型锁子甲</t>
  </si>
  <si>
    <t>青铜胸甲</t>
  </si>
  <si>
    <t>青铜铠甲</t>
  </si>
  <si>
    <t>鱼鳞甲</t>
  </si>
  <si>
    <t>赤铜铠甲</t>
  </si>
  <si>
    <t>铸铁铠甲</t>
  </si>
  <si>
    <t>亮银锁子甲</t>
  </si>
  <si>
    <t>战斗铠甲</t>
  </si>
  <si>
    <t>黄金盔甲</t>
  </si>
  <si>
    <t>刺猬甲</t>
  </si>
  <si>
    <t>白金盔甲</t>
  </si>
  <si>
    <t>重型铠甲</t>
  </si>
  <si>
    <t>钢铁锁子甲</t>
  </si>
  <si>
    <t>合金战斗铠甲</t>
  </si>
  <si>
    <t>白金龙鳞甲</t>
  </si>
  <si>
    <t>钛钢铠甲</t>
  </si>
  <si>
    <t>钨钢铠甲</t>
  </si>
  <si>
    <t>有特殊属性的盔甲</t>
  </si>
  <si>
    <t>大地战甲</t>
  </si>
  <si>
    <t>森林战甲</t>
  </si>
  <si>
    <t>火焰战甲</t>
  </si>
  <si>
    <t>水波战甲</t>
  </si>
  <si>
    <t>金钢战甲</t>
  </si>
  <si>
    <t>混沌战甲</t>
  </si>
  <si>
    <t>秩序战甲</t>
  </si>
  <si>
    <t>有洞卡拉战铠</t>
  </si>
  <si>
    <t>有洞米拉战铠</t>
  </si>
  <si>
    <t>有洞诺亚战铠</t>
  </si>
  <si>
    <t>苏理米战神铠</t>
  </si>
  <si>
    <t>克艾隆战神铠</t>
  </si>
  <si>
    <t>盖亚战神铠</t>
  </si>
  <si>
    <t>铁戒指</t>
  </si>
  <si>
    <t>水晶戒指</t>
  </si>
  <si>
    <t>紫晶戒指</t>
  </si>
  <si>
    <t>珊瑚戒指</t>
  </si>
  <si>
    <t>猫眼石戒指</t>
  </si>
  <si>
    <t>祖母绿戒指</t>
  </si>
  <si>
    <t>金丝戒指</t>
  </si>
  <si>
    <t>孔雀石戒指</t>
  </si>
  <si>
    <t>琥珀戒指</t>
  </si>
  <si>
    <t>天青石戒指</t>
  </si>
  <si>
    <t>玛瑙戒指</t>
  </si>
  <si>
    <t>珍珠戒指</t>
  </si>
  <si>
    <t>黄宝石戒指</t>
  </si>
  <si>
    <t>绿宝石戒指</t>
  </si>
  <si>
    <t>红宝石戒指</t>
  </si>
  <si>
    <t>蓝宝石戒指</t>
  </si>
  <si>
    <t>白宝石戒指</t>
  </si>
  <si>
    <t>黑曜石戒指</t>
  </si>
  <si>
    <t>钻石戒指</t>
  </si>
  <si>
    <t>白金戒指</t>
  </si>
  <si>
    <t>有洞神秘指环</t>
  </si>
  <si>
    <t>有洞恶魔指环</t>
  </si>
  <si>
    <t>有洞天使指环</t>
  </si>
  <si>
    <t>妖邪戒指</t>
  </si>
  <si>
    <t>元晶戒指</t>
  </si>
  <si>
    <t>幽魂戒指</t>
  </si>
  <si>
    <t>水晶项链</t>
  </si>
  <si>
    <t>紫晶项链</t>
  </si>
  <si>
    <t>珊瑚项链</t>
  </si>
  <si>
    <t>猫眼石项链</t>
  </si>
  <si>
    <t>祖母绿项链</t>
  </si>
  <si>
    <t>孔雀石项链</t>
  </si>
  <si>
    <t>琥珀项链</t>
  </si>
  <si>
    <t>天青石项链</t>
  </si>
  <si>
    <t>黄金护身符</t>
  </si>
  <si>
    <t>象牙护身符</t>
  </si>
  <si>
    <t>玛瑙项链</t>
  </si>
  <si>
    <t>珍珠项链</t>
  </si>
  <si>
    <t>红玉髓项链</t>
  </si>
  <si>
    <t>蓝玉髓项链</t>
  </si>
  <si>
    <t>黄玉髓项链</t>
  </si>
  <si>
    <t>青玉髓项链</t>
  </si>
  <si>
    <t>绿玉髓项链</t>
  </si>
  <si>
    <t>星星护身符</t>
  </si>
  <si>
    <t>月亮护身符</t>
  </si>
  <si>
    <t>太阳护身符</t>
  </si>
  <si>
    <t>有洞神秘之链</t>
  </si>
  <si>
    <t>有洞恶魔护符</t>
  </si>
  <si>
    <t>有洞天使项链</t>
  </si>
  <si>
    <t>妖邪护符</t>
  </si>
  <si>
    <t>元晶护符</t>
  </si>
  <si>
    <t>幽魂护符</t>
  </si>
  <si>
    <t>lv70+50</t>
  </si>
  <si>
    <t>娃娃上限</t>
    <phoneticPr fontId="2" type="noConversion"/>
  </si>
  <si>
    <t>属性上限</t>
    <phoneticPr fontId="2" type="noConversion"/>
  </si>
  <si>
    <t>材料数量</t>
    <phoneticPr fontId="2" type="noConversion"/>
  </si>
  <si>
    <t>lv20+25</t>
    <phoneticPr fontId="2" type="noConversion"/>
  </si>
  <si>
    <t>闪亮魔女</t>
    <phoneticPr fontId="2" type="noConversion"/>
  </si>
  <si>
    <t>芭蕾舞鞋</t>
    <phoneticPr fontId="2" type="noConversion"/>
  </si>
  <si>
    <t>lv25+30</t>
    <phoneticPr fontId="2" type="noConversion"/>
  </si>
  <si>
    <t>天白冬菇卡片</t>
    <phoneticPr fontId="2" type="noConversion"/>
  </si>
  <si>
    <t>天白冬菇娃娃</t>
    <phoneticPr fontId="2" type="noConversion"/>
  </si>
  <si>
    <t>lv35+35</t>
    <phoneticPr fontId="2" type="noConversion"/>
  </si>
  <si>
    <t>白杨木 20、鹿皮 20</t>
    <phoneticPr fontId="2" type="noConversion"/>
  </si>
  <si>
    <t>紫杉 10、鹿皮 20</t>
    <phoneticPr fontId="2" type="noConversion"/>
  </si>
  <si>
    <t>lv70+50</t>
    <phoneticPr fontId="2" type="noConversion"/>
  </si>
  <si>
    <t>木菊卡片</t>
    <phoneticPr fontId="2" type="noConversion"/>
  </si>
  <si>
    <t>木菊娃娃</t>
    <phoneticPr fontId="2" type="noConversion"/>
  </si>
  <si>
    <t>红龟卡片</t>
    <phoneticPr fontId="2" type="noConversion"/>
  </si>
  <si>
    <t>红龟娃娃</t>
    <phoneticPr fontId="2" type="noConversion"/>
  </si>
  <si>
    <t>木马</t>
  </si>
  <si>
    <t>木马马鞍</t>
  </si>
  <si>
    <t>柚木 10、羊皮 20</t>
  </si>
  <si>
    <t>金属蝎卡片</t>
  </si>
  <si>
    <t>金属蝎娃娃</t>
  </si>
  <si>
    <t>豪华木马</t>
  </si>
  <si>
    <t>豪华马鞍</t>
  </si>
  <si>
    <t>红桧 10、羊皮 20</t>
  </si>
  <si>
    <t>木鸠兽卡片</t>
  </si>
  <si>
    <t>木鸠兽娃娃</t>
  </si>
  <si>
    <t>黄金木马</t>
  </si>
  <si>
    <t>黄金马鞍</t>
  </si>
  <si>
    <t>紫杉 10、鹿皮 20</t>
  </si>
  <si>
    <t>窝木虫卡片</t>
  </si>
  <si>
    <t>窝木虫娃娃</t>
  </si>
  <si>
    <t>大炮</t>
  </si>
  <si>
    <t>普通炮管</t>
  </si>
  <si>
    <t>铁块 4、鹿皮 6</t>
  </si>
  <si>
    <t>土Q兽卡片</t>
  </si>
  <si>
    <t>土Q兽娃娃</t>
  </si>
  <si>
    <t>红星大炮</t>
  </si>
  <si>
    <t>红星炮管</t>
  </si>
  <si>
    <t>银块 5、貂皮 8</t>
  </si>
  <si>
    <t>守护天使卡片</t>
  </si>
  <si>
    <t>守护天使娃娃</t>
  </si>
  <si>
    <t>黄金大炮</t>
  </si>
  <si>
    <t>黄金炮管</t>
  </si>
  <si>
    <t>金块 6、犀牛皮 10</t>
  </si>
  <si>
    <t>热血波里卡片</t>
  </si>
  <si>
    <t>热血波里娃娃</t>
  </si>
  <si>
    <t>玩具兵</t>
  </si>
  <si>
    <t>玩具步枪</t>
  </si>
  <si>
    <t>黑檀木 4、鳄鱼皮 3</t>
  </si>
  <si>
    <t>光Q兽卡片</t>
  </si>
  <si>
    <t>光Q兽娃娃</t>
  </si>
  <si>
    <t>卫兵队长</t>
  </si>
  <si>
    <t>火红步枪</t>
  </si>
  <si>
    <t>铁杉 6、虎皮 5</t>
  </si>
  <si>
    <t>妮莎骆驼卡片</t>
  </si>
  <si>
    <t>妮莎骆驼娃娃</t>
  </si>
  <si>
    <t>黄金士兵</t>
  </si>
  <si>
    <t>黄金步枪</t>
  </si>
  <si>
    <t>红豆杉 8、龙鳞 7</t>
  </si>
  <si>
    <t>土瓢虫卡片</t>
  </si>
  <si>
    <t>土瓢虫娃娃</t>
  </si>
  <si>
    <t>汽车</t>
  </si>
  <si>
    <t>汽车引擎</t>
  </si>
  <si>
    <t>钢块 1、牛皮 10</t>
  </si>
  <si>
    <t>暗影蝎卡片</t>
  </si>
  <si>
    <t>暗影蝎娃娃</t>
  </si>
  <si>
    <t>跑车</t>
  </si>
  <si>
    <t>跑车引擎</t>
  </si>
  <si>
    <t>钢条 2、鹿皮 12</t>
  </si>
  <si>
    <t>激战蜥蜴卡片</t>
  </si>
  <si>
    <t>激战蜥蜴娃娃</t>
  </si>
  <si>
    <t>黄金跑车</t>
  </si>
  <si>
    <t>黄金引擎</t>
  </si>
  <si>
    <t>合金钢 3、貂皮 14</t>
  </si>
  <si>
    <t>正港黑猪卡片</t>
  </si>
  <si>
    <t>正港黑猪娃娃</t>
  </si>
  <si>
    <t>芭蕾娃娃</t>
  </si>
  <si>
    <t>芭蕾舞鞋</t>
  </si>
  <si>
    <t>竹子 20、羊皮 20</t>
  </si>
  <si>
    <t>麻辣骆驼卡片</t>
  </si>
  <si>
    <t>麻辣骆驼娃娃</t>
  </si>
  <si>
    <t>芭蕾公主</t>
  </si>
  <si>
    <t>红舞鞋</t>
  </si>
  <si>
    <t>藤条 20、牛皮 20</t>
  </si>
  <si>
    <t>攀岩雪怪卡片</t>
  </si>
  <si>
    <t>攀岩雪怪娃娃</t>
  </si>
  <si>
    <t>黄金舞者</t>
  </si>
  <si>
    <t>黄金舞鞋</t>
  </si>
  <si>
    <t>白杨木 20、鹿皮 20</t>
  </si>
  <si>
    <t>潜水羊卡片</t>
  </si>
  <si>
    <t>潜水羊娃娃</t>
  </si>
  <si>
    <t>陀螺</t>
  </si>
  <si>
    <t>陀螺转轴</t>
  </si>
  <si>
    <t>柚木 10、犀牛皮 4</t>
  </si>
  <si>
    <t>火旺卡片</t>
  </si>
  <si>
    <t>火旺娃娃</t>
  </si>
  <si>
    <t>摇滚陀螺</t>
  </si>
  <si>
    <t>摇滚转轴</t>
  </si>
  <si>
    <t>红桧 10、鳄鱼皮 6</t>
  </si>
  <si>
    <t>三月兔卡片</t>
  </si>
  <si>
    <t>三月兔娃娃</t>
  </si>
  <si>
    <t>黄金陀螺</t>
  </si>
  <si>
    <t>黄金转轴</t>
  </si>
  <si>
    <t>紫杉 10、虎皮 8</t>
  </si>
  <si>
    <t>闪光龙卡片</t>
  </si>
  <si>
    <t>闪光龙娃娃</t>
  </si>
  <si>
    <t>炸弹</t>
  </si>
  <si>
    <t>引爆器</t>
  </si>
  <si>
    <t>青铜块 5、鳄鱼皮 3</t>
  </si>
  <si>
    <t>水兔兔卡片</t>
  </si>
  <si>
    <t>水兔兔娃娃</t>
  </si>
  <si>
    <t>致命炸弹</t>
  </si>
  <si>
    <t>致命引爆器</t>
  </si>
  <si>
    <t>铜块 7、虎皮 5</t>
  </si>
  <si>
    <t>白玫瑰卡片</t>
  </si>
  <si>
    <t>白玫瑰娃娃</t>
  </si>
  <si>
    <t>黄金炸弹</t>
  </si>
  <si>
    <t>黄金引爆器</t>
  </si>
  <si>
    <t>铁块 10、龙鳞 7</t>
  </si>
  <si>
    <t>大眼熊卡片</t>
  </si>
  <si>
    <t>大眼熊娃娃</t>
  </si>
  <si>
    <t>幽浮</t>
  </si>
  <si>
    <t>发光体</t>
  </si>
  <si>
    <t>K金 2、貂皮 5</t>
  </si>
  <si>
    <t>竹蜻蜓卡片</t>
  </si>
  <si>
    <t>竹蜻蜓娃娃</t>
  </si>
  <si>
    <t>飞碟</t>
  </si>
  <si>
    <t>神秘发光体</t>
  </si>
  <si>
    <t>钢块 2、犀牛皮 7</t>
  </si>
  <si>
    <t>金海马卡片</t>
  </si>
  <si>
    <t>金海马娃娃</t>
  </si>
  <si>
    <t>黄金飞碟</t>
  </si>
  <si>
    <t>黄金发光体</t>
  </si>
  <si>
    <t>钢条 3、鳄鱼皮 9</t>
  </si>
  <si>
    <t>泥娃娃卡片</t>
  </si>
  <si>
    <t>泥娃娃娃娃</t>
  </si>
  <si>
    <t>骰子</t>
  </si>
  <si>
    <t>骰子模型</t>
  </si>
  <si>
    <t>铁块 4、鹿皮 10</t>
  </si>
  <si>
    <t>骆驼卡片</t>
  </si>
  <si>
    <t>骆驼娃娃</t>
  </si>
  <si>
    <t>镶金骰子</t>
  </si>
  <si>
    <t>镶金骰子模型</t>
  </si>
  <si>
    <t>银块 5、貂皮 10</t>
  </si>
  <si>
    <t>爬木蝎卡片</t>
  </si>
  <si>
    <t>爬木蝎娃娃</t>
  </si>
  <si>
    <t>黄金骰子</t>
  </si>
  <si>
    <t>黄金骰子模型</t>
  </si>
  <si>
    <t>老实牛卡片</t>
  </si>
  <si>
    <t>老实牛娃娃</t>
  </si>
  <si>
    <t>迷你卫星</t>
  </si>
  <si>
    <t>迷你电脑</t>
  </si>
  <si>
    <t>水鸠兽卡片</t>
  </si>
  <si>
    <t>水鸠兽娃娃</t>
  </si>
  <si>
    <t>人造卫星</t>
  </si>
  <si>
    <t>卫星电脑</t>
  </si>
  <si>
    <t>钢条 2、鹿皮 10</t>
  </si>
  <si>
    <t>法亚象卡片</t>
  </si>
  <si>
    <t>法亚象娃娃</t>
  </si>
  <si>
    <t>黄金卫星</t>
  </si>
  <si>
    <t>黄金电脑</t>
  </si>
  <si>
    <t>高级生命娃娃(耐20)</t>
    <phoneticPr fontId="2" type="noConversion"/>
  </si>
  <si>
    <t>宇宙奥秘</t>
    <phoneticPr fontId="2" type="noConversion"/>
  </si>
  <si>
    <t>高级法力娃娃(耐20)</t>
    <phoneticPr fontId="2" type="noConversion"/>
  </si>
  <si>
    <t>七级封印石</t>
    <phoneticPr fontId="2" type="noConversion"/>
  </si>
  <si>
    <t>幻兽牢笼3个</t>
    <phoneticPr fontId="2" type="noConversion"/>
  </si>
  <si>
    <t>第一特奖(6个奖项全得)</t>
    <phoneticPr fontId="2" type="noConversion"/>
  </si>
  <si>
    <t>宠物甜心糖3个</t>
    <phoneticPr fontId="2" type="noConversion"/>
  </si>
  <si>
    <t>宠物亲亲糖3个</t>
    <phoneticPr fontId="2" type="noConversion"/>
  </si>
  <si>
    <t>武器降级涂料2个</t>
    <phoneticPr fontId="2" type="noConversion"/>
  </si>
  <si>
    <t>防具降级涂料2个</t>
    <phoneticPr fontId="2" type="noConversion"/>
  </si>
  <si>
    <t>资料片掉宝资料</t>
    <phoneticPr fontId="2" type="noConversion"/>
  </si>
  <si>
    <t>第二级：家族之光</t>
    <phoneticPr fontId="2" type="noConversion"/>
  </si>
  <si>
    <t>鼠洞2F</t>
    <phoneticPr fontId="2" type="noConversion"/>
  </si>
  <si>
    <t>第三级：黑洞集卡册</t>
    <phoneticPr fontId="2" type="noConversion"/>
  </si>
  <si>
    <t>史来姆迷宫3F</t>
    <phoneticPr fontId="2" type="noConversion"/>
  </si>
  <si>
    <t>鼠洞3F</t>
    <phoneticPr fontId="2" type="noConversion"/>
  </si>
  <si>
    <t>黑寡妇卡</t>
    <phoneticPr fontId="2" type="noConversion"/>
  </si>
  <si>
    <t>神灯沙漠</t>
    <phoneticPr fontId="2" type="noConversion"/>
  </si>
  <si>
    <t>青鸟城地下迷宫B1</t>
    <phoneticPr fontId="2" type="noConversion"/>
  </si>
  <si>
    <t>鼠洞1F</t>
    <phoneticPr fontId="2" type="noConversion"/>
  </si>
  <si>
    <t>开放家族幻兽牧场，家族升至第九级，才可取得家族牧场的使用权，而且还可对外开放付费参观，家族大头目可前往牧场博览会「翡翠城（74.253）」申请。只在第一分流开放，大头目需付费租用家族牧场，一个家族同时可最多拥有5个牧场。</t>
    <phoneticPr fontId="2" type="noConversion"/>
  </si>
  <si>
    <t>人数上限增加到50人，有家族房间，房间里有个留言板，如果家族人数又少于25人，家族房间就会被取消。家族大头目对于家族留言板的留言删除权。</t>
    <phoneticPr fontId="2" type="noConversion"/>
  </si>
  <si>
    <t>新增家族会堂。家族会堂比家族房间来得豪华许多，除了以往家族房间的功能会继续存在以外，家族会堂还为以后家族将会扩充的功能预留了许多空间。例如家族会堂内的石柱，就是升级为第七级之后，通往家族密道用的。</t>
    <phoneticPr fontId="2" type="noConversion"/>
  </si>
  <si>
    <t>家族房间多了一个家族垃圾桶，提供家族成员一个交换和收集资源的方便平台，由家族大头目负责管理。家族垃圾桶总共有三页，任何家族成员都可以拿取东西。但同一时间内，仅有一个家族成员可以使用。家族的大头目可以把家族垃圾桶内的所有物品倒掉，或是设定其开放或者关闭。一旦关闭之后，只有大头目可以放入或拿取家族垃圾桶内的物品。</t>
    <phoneticPr fontId="2" type="noConversion"/>
  </si>
  <si>
    <t>家族人数上限增至70名。新增家族密道。第七级的家族可以利用家族会堂中的传送石柱通往家族密道。家族密道是一条可以让家族成员轻松往来各大城的一条魔法通道。只要家族成员摸一下会堂中的传送石柱，就可以进入密道了。家族密道是一个十字型的通道，中间有一个小小的广场；家族会堂建筑在不通的城市，进入家族密道的位置也不同；玩家可以在密道中碰见来自不同家族的其它玩家，通过密道广场，往北可达青鸟城，往南可达金银城，往西是彩虹城，往东则是巴格达城，相当的方便。</t>
    <phoneticPr fontId="2" type="noConversion"/>
  </si>
  <si>
    <t>家族新增功能</t>
    <phoneticPr fontId="2" type="noConversion"/>
  </si>
  <si>
    <t>家族升级方式</t>
    <phoneticPr fontId="2" type="noConversion"/>
  </si>
  <si>
    <t>合金钢 3、鳄鱼皮 10</t>
  </si>
  <si>
    <t>火箭猪卡片</t>
  </si>
  <si>
    <t>火箭猪娃娃</t>
  </si>
  <si>
    <t>棒球</t>
  </si>
  <si>
    <t>棒球塑材</t>
  </si>
  <si>
    <t>黄金象卡片</t>
  </si>
  <si>
    <t>黄金象娃娃</t>
  </si>
  <si>
    <t>足球</t>
  </si>
  <si>
    <t>足球塑材</t>
  </si>
  <si>
    <t>红桧 10、牛皮 20</t>
  </si>
  <si>
    <t>花木豹卡片</t>
  </si>
  <si>
    <t>花木豹娃娃</t>
  </si>
  <si>
    <t>篮球</t>
  </si>
  <si>
    <t>篮球塑材</t>
  </si>
  <si>
    <t>紫杉 10、鹿皮</t>
  </si>
  <si>
    <t>恶鬼卡片</t>
  </si>
  <si>
    <t>恶鬼娃娃</t>
  </si>
  <si>
    <t>拖鞋</t>
  </si>
  <si>
    <t>拖鞋面底</t>
  </si>
  <si>
    <t>金Q兽卡片</t>
  </si>
  <si>
    <t>金Q兽娃娃</t>
  </si>
  <si>
    <t>木屐</t>
  </si>
  <si>
    <t>木屐鞋底</t>
  </si>
  <si>
    <t>赤尾鸟卡片</t>
  </si>
  <si>
    <t>赤尾鸟娃娃</t>
  </si>
  <si>
    <t>高跟鞋</t>
  </si>
  <si>
    <t>高跟鞋鞋跟</t>
  </si>
  <si>
    <t>金钱豹卡片</t>
  </si>
  <si>
    <t>金钱豹娃娃</t>
  </si>
  <si>
    <t>哈密瓜</t>
  </si>
  <si>
    <t>哈密瓜籽</t>
  </si>
  <si>
    <t>冰蝎卡片</t>
  </si>
  <si>
    <t>冰蝎娃娃</t>
  </si>
  <si>
    <t>小玉西瓜</t>
  </si>
  <si>
    <t>西瓜籽</t>
  </si>
  <si>
    <t>芦苇草人卡片</t>
  </si>
  <si>
    <t>芦苇草人娃娃</t>
  </si>
  <si>
    <t>南瓜</t>
  </si>
  <si>
    <t>南瓜籽</t>
  </si>
  <si>
    <t>火焰祭司卡片</t>
  </si>
  <si>
    <t>火焰祭司娃娃</t>
  </si>
  <si>
    <t>小蛋糕</t>
  </si>
  <si>
    <t>小蛋糕模型</t>
  </si>
  <si>
    <t>沙土巨魔卡片</t>
  </si>
  <si>
    <t>沙土巨魔娃娃</t>
  </si>
  <si>
    <t>生日蛋糕</t>
  </si>
  <si>
    <t>蛋糕模型</t>
  </si>
  <si>
    <t>钢铁机器人卡片</t>
  </si>
  <si>
    <t>钢铁机器人娃娃</t>
  </si>
  <si>
    <t>结婚蛋糕</t>
  </si>
  <si>
    <t>大蛋糕模型</t>
  </si>
  <si>
    <t>黄铜机器人卡片</t>
  </si>
  <si>
    <t>黄铜机器人娃娃</t>
  </si>
  <si>
    <t>甜甜圈</t>
  </si>
  <si>
    <t>面粉圈</t>
  </si>
  <si>
    <t>闪光精灵卡片</t>
  </si>
  <si>
    <t>闪光精灵娃娃</t>
  </si>
  <si>
    <t>呼啦圈</t>
  </si>
  <si>
    <t>塑胶圈</t>
  </si>
  <si>
    <t>木猕猴卡片</t>
  </si>
  <si>
    <t>木猕猴娃娃</t>
  </si>
  <si>
    <t>天使光环</t>
  </si>
  <si>
    <t>光圈</t>
  </si>
  <si>
    <t>生啤酒卡片</t>
  </si>
  <si>
    <t>生啤酒娃娃</t>
  </si>
  <si>
    <t>香蕉</t>
  </si>
  <si>
    <t>食用香蕉籽</t>
  </si>
  <si>
    <t>贪心骆驼卡片</t>
  </si>
  <si>
    <t>贪心骆驼娃娃</t>
  </si>
  <si>
    <t>剥皮香蕉</t>
  </si>
  <si>
    <t>野生香蕉籽</t>
  </si>
  <si>
    <t>水雷河豚卡片</t>
  </si>
  <si>
    <t>水雷河豚娃娃</t>
  </si>
  <si>
    <t>一串蕉</t>
  </si>
  <si>
    <t>稀有香蕉籽</t>
  </si>
  <si>
    <t>妖精艾尔法</t>
  </si>
  <si>
    <t>冲锋战士</t>
  </si>
  <si>
    <t>火焰壹号</t>
  </si>
  <si>
    <t>厄斯A型</t>
  </si>
  <si>
    <t>幻象</t>
  </si>
  <si>
    <t>银光</t>
  </si>
  <si>
    <t>妖精贝塔</t>
    <phoneticPr fontId="2" type="noConversion"/>
  </si>
  <si>
    <t>绿宝石</t>
    <phoneticPr fontId="2" type="noConversion"/>
  </si>
  <si>
    <t>细麻布</t>
    <phoneticPr fontId="2" type="noConversion"/>
  </si>
  <si>
    <t>红桧</t>
    <phoneticPr fontId="2" type="noConversion"/>
  </si>
  <si>
    <t>银块</t>
    <phoneticPr fontId="2" type="noConversion"/>
  </si>
  <si>
    <t>牛皮</t>
    <phoneticPr fontId="2" type="noConversion"/>
  </si>
  <si>
    <t>狂风战士</t>
    <phoneticPr fontId="2" type="noConversion"/>
  </si>
  <si>
    <t>蓝宝石</t>
    <phoneticPr fontId="2" type="noConversion"/>
  </si>
  <si>
    <t>粗麻布</t>
    <phoneticPr fontId="2" type="noConversion"/>
  </si>
  <si>
    <t>鹿皮</t>
    <phoneticPr fontId="2" type="noConversion"/>
  </si>
  <si>
    <t>火焰贰号</t>
    <phoneticPr fontId="2" type="noConversion"/>
  </si>
  <si>
    <t>红宝石</t>
    <phoneticPr fontId="2" type="noConversion"/>
  </si>
  <si>
    <t>厄斯B型</t>
    <phoneticPr fontId="2" type="noConversion"/>
  </si>
  <si>
    <t>黄宝石</t>
    <phoneticPr fontId="2" type="noConversion"/>
  </si>
  <si>
    <t>幻象II</t>
    <phoneticPr fontId="2" type="noConversion"/>
  </si>
  <si>
    <t>黑曜石</t>
    <phoneticPr fontId="2" type="noConversion"/>
  </si>
  <si>
    <t>炫光</t>
    <phoneticPr fontId="2" type="noConversion"/>
  </si>
  <si>
    <t>白宝石</t>
    <phoneticPr fontId="2" type="noConversion"/>
  </si>
  <si>
    <t>绒布</t>
    <phoneticPr fontId="2" type="noConversion"/>
  </si>
  <si>
    <t>紫杉</t>
    <phoneticPr fontId="2" type="noConversion"/>
  </si>
  <si>
    <t>金块</t>
    <phoneticPr fontId="2" type="noConversion"/>
  </si>
  <si>
    <t>貂皮</t>
    <phoneticPr fontId="2" type="noConversion"/>
  </si>
  <si>
    <t>毛毯</t>
    <phoneticPr fontId="2" type="noConversion"/>
  </si>
  <si>
    <t>犀牛皮</t>
    <phoneticPr fontId="2" type="noConversion"/>
  </si>
  <si>
    <t>烈焰</t>
    <phoneticPr fontId="2" type="noConversion"/>
  </si>
  <si>
    <t>黑檀木</t>
    <phoneticPr fontId="2" type="noConversion"/>
  </si>
  <si>
    <t>铁块</t>
    <phoneticPr fontId="2" type="noConversion"/>
  </si>
  <si>
    <t>幻影</t>
    <phoneticPr fontId="2" type="noConversion"/>
  </si>
  <si>
    <t>农神</t>
    <phoneticPr fontId="2" type="noConversion"/>
  </si>
  <si>
    <t>绿玉髓</t>
    <phoneticPr fontId="2" type="noConversion"/>
  </si>
  <si>
    <t>丝绸</t>
    <phoneticPr fontId="2" type="noConversion"/>
  </si>
  <si>
    <t>铁杉</t>
    <phoneticPr fontId="2" type="noConversion"/>
  </si>
  <si>
    <t>钢条</t>
    <phoneticPr fontId="2" type="noConversion"/>
  </si>
  <si>
    <t>鳄鱼皮</t>
    <phoneticPr fontId="2" type="noConversion"/>
  </si>
  <si>
    <t>猎风战士</t>
    <phoneticPr fontId="2" type="noConversion"/>
  </si>
  <si>
    <t>蓝玉髓</t>
    <phoneticPr fontId="2" type="noConversion"/>
  </si>
  <si>
    <t>红豆杉</t>
    <phoneticPr fontId="2" type="noConversion"/>
  </si>
  <si>
    <t>K金</t>
    <phoneticPr fontId="2" type="noConversion"/>
  </si>
  <si>
    <t>炙焰</t>
    <phoneticPr fontId="2" type="noConversion"/>
  </si>
  <si>
    <t>红玉髓</t>
    <phoneticPr fontId="2" type="noConversion"/>
  </si>
  <si>
    <t>蚕丝</t>
    <phoneticPr fontId="2" type="noConversion"/>
  </si>
  <si>
    <t>虎皮</t>
    <phoneticPr fontId="2" type="noConversion"/>
  </si>
  <si>
    <t>超级厄斯</t>
    <phoneticPr fontId="2" type="noConversion"/>
  </si>
  <si>
    <t>黄玉髓</t>
    <phoneticPr fontId="2" type="noConversion"/>
  </si>
  <si>
    <t>青玉髓</t>
    <phoneticPr fontId="2" type="noConversion"/>
  </si>
  <si>
    <t>钻石</t>
    <phoneticPr fontId="2" type="noConversion"/>
  </si>
  <si>
    <t>猫毯</t>
    <phoneticPr fontId="2" type="noConversion"/>
  </si>
  <si>
    <t>晶石木</t>
    <phoneticPr fontId="2" type="noConversion"/>
  </si>
  <si>
    <t>合金钢</t>
    <phoneticPr fontId="2" type="noConversion"/>
  </si>
  <si>
    <t>大眼熊娃娃</t>
    <phoneticPr fontId="2" type="noConversion"/>
  </si>
  <si>
    <t>彩虹木</t>
    <phoneticPr fontId="2" type="noConversion"/>
  </si>
  <si>
    <t>白金块</t>
    <phoneticPr fontId="2" type="noConversion"/>
  </si>
  <si>
    <t>金钱豹娃娃</t>
    <phoneticPr fontId="2" type="noConversion"/>
  </si>
  <si>
    <t>钛合金</t>
    <phoneticPr fontId="2" type="noConversion"/>
  </si>
  <si>
    <t>暴力兔娃娃</t>
    <phoneticPr fontId="2" type="noConversion"/>
  </si>
  <si>
    <t xml:space="preserve">麻纱 </t>
  </si>
  <si>
    <t>推车名称</t>
    <phoneticPr fontId="2" type="noConversion"/>
  </si>
  <si>
    <t>羊皮</t>
    <phoneticPr fontId="2" type="noConversion"/>
  </si>
  <si>
    <t>一级推车</t>
    <phoneticPr fontId="2" type="noConversion"/>
  </si>
  <si>
    <t>制作材料</t>
    <phoneticPr fontId="2" type="noConversion"/>
  </si>
  <si>
    <t>属性加成</t>
    <phoneticPr fontId="2" type="noConversion"/>
  </si>
  <si>
    <t>等级限制</t>
    <phoneticPr fontId="2" type="noConversion"/>
  </si>
  <si>
    <t>制作地点</t>
    <phoneticPr fontId="2" type="noConversion"/>
  </si>
  <si>
    <t>制作费用</t>
    <phoneticPr fontId="2" type="noConversion"/>
  </si>
  <si>
    <t>敏捷＋2</t>
    <phoneticPr fontId="2" type="noConversion"/>
  </si>
  <si>
    <t>力量＋2</t>
    <phoneticPr fontId="2" type="noConversion"/>
  </si>
  <si>
    <t>体质＋2</t>
    <phoneticPr fontId="2" type="noConversion"/>
  </si>
  <si>
    <t>智慧＋2</t>
    <phoneticPr fontId="2" type="noConversion"/>
  </si>
  <si>
    <t>推车制作</t>
    <phoneticPr fontId="2" type="noConversion"/>
  </si>
  <si>
    <t>智慧＋5</t>
    <phoneticPr fontId="2" type="noConversion"/>
  </si>
  <si>
    <t>敏捷＋6</t>
    <phoneticPr fontId="2" type="noConversion"/>
  </si>
  <si>
    <t>力量＋5</t>
    <phoneticPr fontId="2" type="noConversion"/>
  </si>
  <si>
    <t>体质＋5</t>
    <phoneticPr fontId="2" type="noConversion"/>
  </si>
  <si>
    <t>力量＋6</t>
    <phoneticPr fontId="2" type="noConversion"/>
  </si>
  <si>
    <t>智慧＋6</t>
    <phoneticPr fontId="2" type="noConversion"/>
  </si>
  <si>
    <t>超级妖精</t>
    <phoneticPr fontId="2" type="noConversion"/>
  </si>
  <si>
    <t>疾风战士</t>
    <phoneticPr fontId="2" type="noConversion"/>
  </si>
  <si>
    <t>厄斯X</t>
    <phoneticPr fontId="2" type="noConversion"/>
  </si>
  <si>
    <t>炫光PLUS</t>
    <phoneticPr fontId="2" type="noConversion"/>
  </si>
  <si>
    <t>智慧＋8</t>
    <phoneticPr fontId="2" type="noConversion"/>
  </si>
  <si>
    <t>敏捷＋9</t>
    <phoneticPr fontId="2" type="noConversion"/>
  </si>
  <si>
    <t>力量＋8</t>
    <phoneticPr fontId="2" type="noConversion"/>
  </si>
  <si>
    <t>体质＋9</t>
    <phoneticPr fontId="2" type="noConversion"/>
  </si>
  <si>
    <t>智慧＋9</t>
    <phoneticPr fontId="2" type="noConversion"/>
  </si>
  <si>
    <t>五级推车</t>
    <phoneticPr fontId="2" type="noConversion"/>
  </si>
  <si>
    <t>魅影</t>
    <phoneticPr fontId="2" type="noConversion"/>
  </si>
  <si>
    <t>闪光</t>
    <phoneticPr fontId="2" type="noConversion"/>
  </si>
  <si>
    <t>敏捷＋14</t>
    <phoneticPr fontId="2" type="noConversion"/>
  </si>
  <si>
    <t>力量＋12</t>
    <phoneticPr fontId="2" type="noConversion"/>
  </si>
  <si>
    <t>智慧＋13</t>
    <phoneticPr fontId="2" type="noConversion"/>
  </si>
  <si>
    <t>体质＋15</t>
    <phoneticPr fontId="2" type="noConversion"/>
  </si>
  <si>
    <t>力量＋20</t>
    <phoneticPr fontId="2" type="noConversion"/>
  </si>
  <si>
    <t>智慧＋20</t>
    <phoneticPr fontId="2" type="noConversion"/>
  </si>
  <si>
    <t>敏捷＋20</t>
    <phoneticPr fontId="2" type="noConversion"/>
  </si>
  <si>
    <t>呆熊MK1</t>
    <phoneticPr fontId="2" type="noConversion"/>
  </si>
  <si>
    <t>呆熊MK2</t>
  </si>
  <si>
    <t>呆熊MK3</t>
  </si>
  <si>
    <t>贱猫MK1</t>
    <phoneticPr fontId="2" type="noConversion"/>
  </si>
  <si>
    <t>贱猫MK2</t>
  </si>
  <si>
    <t>贱猫MK3</t>
  </si>
  <si>
    <t>笨兔MK1</t>
    <phoneticPr fontId="2" type="noConversion"/>
  </si>
  <si>
    <t>笨兔MK2</t>
  </si>
  <si>
    <t>笨兔MK3</t>
  </si>
  <si>
    <t>幻兽5级才能装备</t>
    <phoneticPr fontId="2" type="noConversion"/>
  </si>
  <si>
    <t>彩虹城旅人工会－裴洛</t>
    <phoneticPr fontId="2" type="noConversion"/>
  </si>
  <si>
    <t>每制作一辆推车都要 25 万可因</t>
    <phoneticPr fontId="2" type="noConversion"/>
  </si>
  <si>
    <t>幻兽15级才能装备</t>
    <phoneticPr fontId="2" type="noConversion"/>
  </si>
  <si>
    <t>巴格达城幻兽店－凯勒</t>
    <phoneticPr fontId="2" type="noConversion"/>
  </si>
  <si>
    <t>每制作一辆推车都要 34 万可因</t>
    <phoneticPr fontId="2" type="noConversion"/>
  </si>
  <si>
    <t>幻兽25级才能装备</t>
    <phoneticPr fontId="2" type="noConversion"/>
  </si>
  <si>
    <t>遗跡地下8F－亚特『89，83』</t>
    <phoneticPr fontId="2" type="noConversion"/>
  </si>
  <si>
    <t>每制作一辆推车都要 75 万可因</t>
    <phoneticPr fontId="2" type="noConversion"/>
  </si>
  <si>
    <t>土怕啃</t>
    <phoneticPr fontId="2" type="noConversion"/>
  </si>
  <si>
    <t>铁樵夫</t>
    <phoneticPr fontId="2" type="noConversion"/>
  </si>
  <si>
    <t>小小黑鼬鼠</t>
    <phoneticPr fontId="2" type="noConversion"/>
  </si>
  <si>
    <t>冲刺</t>
    <phoneticPr fontId="2" type="noConversion"/>
  </si>
  <si>
    <t>四级推车</t>
    <phoneticPr fontId="2" type="noConversion"/>
  </si>
  <si>
    <t>智慧＋15</t>
    <phoneticPr fontId="2" type="noConversion"/>
  </si>
  <si>
    <t>幻兽40级才能装备</t>
    <phoneticPr fontId="2" type="noConversion"/>
  </si>
  <si>
    <t xml:space="preserve">翡翠城－玛姬『60，215』
</t>
    <phoneticPr fontId="2" type="noConversion"/>
  </si>
  <si>
    <t>每制作一辆推车都要 120 万可因</t>
    <phoneticPr fontId="2" type="noConversion"/>
  </si>
  <si>
    <t>幻兽55级才能装备</t>
    <phoneticPr fontId="2" type="noConversion"/>
  </si>
  <si>
    <t>翡翠城-海德『48，215』</t>
    <phoneticPr fontId="2" type="noConversion"/>
  </si>
  <si>
    <t>每制作一辆推车都要 145 万可因</t>
    <phoneticPr fontId="2" type="noConversion"/>
  </si>
  <si>
    <t>三级推车</t>
    <phoneticPr fontId="2" type="noConversion"/>
  </si>
  <si>
    <t>二级推车</t>
    <phoneticPr fontId="2" type="noConversion"/>
  </si>
  <si>
    <t>痞子鳄鱼卡片</t>
  </si>
  <si>
    <t>痞子鳄鱼娃娃</t>
  </si>
  <si>
    <t>苹果梗</t>
  </si>
  <si>
    <t>苹果核</t>
  </si>
  <si>
    <t>暗Q兽卡片</t>
  </si>
  <si>
    <t>暗Q兽娃娃</t>
  </si>
  <si>
    <t>青苹果</t>
  </si>
  <si>
    <t>青苹果核</t>
  </si>
  <si>
    <t>杀手鳄鱼卡片</t>
  </si>
  <si>
    <t>杀手鳄鱼娃娃</t>
  </si>
  <si>
    <t>红苹果</t>
  </si>
  <si>
    <t>红苹果核</t>
  </si>
  <si>
    <t>蓝眼雀卡片</t>
  </si>
  <si>
    <t>蓝眼雀娃娃</t>
  </si>
  <si>
    <t>骨头</t>
  </si>
  <si>
    <t>猪骨</t>
  </si>
  <si>
    <t>黄飞猴卡片</t>
  </si>
  <si>
    <t>黄飞猴娃娃</t>
  </si>
  <si>
    <t>带骨肉</t>
  </si>
  <si>
    <t>牛骨</t>
  </si>
  <si>
    <t>跑路鳄鱼卡片</t>
  </si>
  <si>
    <t>跑路鳄鱼娃娃</t>
  </si>
  <si>
    <t>骷髅头</t>
  </si>
  <si>
    <t>黑色旗</t>
  </si>
  <si>
    <t>粉红豹卡片</t>
  </si>
  <si>
    <t>粉红豹娃娃</t>
  </si>
  <si>
    <t>星星</t>
  </si>
  <si>
    <t>星星发光装置</t>
  </si>
  <si>
    <t>铁块 4、鹿皮10</t>
  </si>
  <si>
    <t>稻草包卡片</t>
  </si>
  <si>
    <t>稻草包娃娃</t>
  </si>
  <si>
    <t>月亮</t>
  </si>
  <si>
    <t>月亮发光装置</t>
  </si>
  <si>
    <t>枫叶菇卡片</t>
  </si>
  <si>
    <t>枫叶菇娃娃</t>
  </si>
  <si>
    <t>太阳</t>
  </si>
  <si>
    <t>太阳发光装置</t>
  </si>
  <si>
    <t>金针菇卡片</t>
  </si>
  <si>
    <t>金针菇娃娃</t>
  </si>
  <si>
    <t>白云</t>
  </si>
  <si>
    <t>飘云装置</t>
  </si>
  <si>
    <t>鸡蛋布丁卡片</t>
  </si>
  <si>
    <t>鸡蛋布丁娃娃</t>
  </si>
  <si>
    <t>乌云</t>
  </si>
  <si>
    <t>降雨装置</t>
  </si>
  <si>
    <t>雷电云</t>
  </si>
  <si>
    <t>打雷装置</t>
  </si>
  <si>
    <t>金属蜻蜓卡片</t>
  </si>
  <si>
    <t>金属蜻蜓娃娃</t>
  </si>
  <si>
    <t>小鸡</t>
  </si>
  <si>
    <t>小鸡模型</t>
  </si>
  <si>
    <t>牛奶布丁卡片</t>
  </si>
  <si>
    <t>牛奶布丁娃娃</t>
  </si>
  <si>
    <t>母鸡</t>
  </si>
  <si>
    <t>母鸡模型</t>
  </si>
  <si>
    <t>绿蜻蜓卡片</t>
  </si>
  <si>
    <t>绿蜻蜓娃娃</t>
  </si>
  <si>
    <t>公鸡</t>
  </si>
  <si>
    <t>公鸡模型</t>
  </si>
  <si>
    <t>梅子布丁卡片</t>
  </si>
  <si>
    <t>梅子布丁娃娃</t>
  </si>
  <si>
    <t>塑胶鸭子</t>
  </si>
  <si>
    <t>鸭子模型</t>
  </si>
  <si>
    <t>点水蜻蜓卡片</t>
  </si>
  <si>
    <t>点水蜻蜓娃娃</t>
  </si>
  <si>
    <t>塑胶鹅</t>
  </si>
  <si>
    <t>鹅模型</t>
  </si>
  <si>
    <t>蓝莓布丁卡片</t>
  </si>
  <si>
    <t>蓝莓布丁娃娃</t>
  </si>
  <si>
    <t>塑胶天鹅</t>
  </si>
  <si>
    <t>天鹅模型</t>
  </si>
  <si>
    <t>鲍鱼菇卡片</t>
  </si>
  <si>
    <t>鲍鱼菇娃娃</t>
  </si>
  <si>
    <t>猫咪布偶</t>
  </si>
  <si>
    <t>猫咪布偶设计图</t>
  </si>
  <si>
    <t>热情司瓦诺卡片</t>
  </si>
  <si>
    <t>热情司瓦诺娃娃</t>
  </si>
  <si>
    <t>老虎布偶</t>
  </si>
  <si>
    <t>老虎布偶设计图</t>
  </si>
  <si>
    <t>草莓布丁卡片</t>
  </si>
  <si>
    <t>草莓布丁娃娃</t>
  </si>
  <si>
    <t>狮子布偶</t>
  </si>
  <si>
    <t>狮子布偶设计图</t>
  </si>
  <si>
    <t>阳光司瓦诺卡片</t>
  </si>
  <si>
    <t>阳光司瓦诺娃娃</t>
  </si>
  <si>
    <t>古董不倒翁</t>
  </si>
  <si>
    <t>古董不倒翁底座</t>
  </si>
  <si>
    <t>蘑菇卡片</t>
  </si>
  <si>
    <t>蘑菇娃娃</t>
  </si>
  <si>
    <t>摩登不倒翁</t>
  </si>
  <si>
    <t>摩登不倒翁底座</t>
  </si>
  <si>
    <t>朴实司瓦诺卡片</t>
  </si>
  <si>
    <t>朴实司瓦诺娃娃</t>
  </si>
  <si>
    <t>可爱不倒翁</t>
  </si>
  <si>
    <t>可爱不倒翁底座</t>
  </si>
  <si>
    <t>化石独角仙卡片</t>
  </si>
  <si>
    <t>化石独角仙娃娃</t>
  </si>
  <si>
    <t>发条把手</t>
  </si>
  <si>
    <t>把手模型</t>
  </si>
  <si>
    <t>荧光蜻蜓卡片</t>
  </si>
  <si>
    <t>荧光蜻蜓娃娃</t>
  </si>
  <si>
    <t>方向盘</t>
  </si>
  <si>
    <t>方向盘转轴</t>
  </si>
  <si>
    <t>正义司瓦诺卡片</t>
  </si>
  <si>
    <t>正义司瓦诺娃娃</t>
  </si>
  <si>
    <t>螺旋桨</t>
  </si>
  <si>
    <t>螺旋桨转轴</t>
  </si>
  <si>
    <t>恒星独角仙卡片</t>
  </si>
  <si>
    <t>恒星独角仙娃娃</t>
  </si>
  <si>
    <t>单眼望远镜</t>
  </si>
  <si>
    <t>单眼镜管</t>
  </si>
  <si>
    <t>黑洞独角仙卡片</t>
  </si>
  <si>
    <t>黑洞独角仙娃娃</t>
  </si>
  <si>
    <t>双眼望远镜</t>
  </si>
  <si>
    <t>双眼镜管</t>
  </si>
  <si>
    <t>暗夜蜻蜓卡片</t>
  </si>
  <si>
    <t>暗夜蜻蜓娃娃</t>
  </si>
  <si>
    <t>单眼相机</t>
  </si>
  <si>
    <t>单眼镜头</t>
  </si>
  <si>
    <t>香菇卡片</t>
  </si>
  <si>
    <t>香菇娃娃</t>
  </si>
  <si>
    <t>冲浪板</t>
  </si>
  <si>
    <t>防水漆</t>
  </si>
  <si>
    <t>土蜻蜓卡片</t>
  </si>
  <si>
    <t>土蜻蜓娃娃</t>
  </si>
  <si>
    <t>风帆</t>
  </si>
  <si>
    <t>风帆帆布</t>
  </si>
  <si>
    <t>芒果布丁卡片</t>
  </si>
  <si>
    <t>芒果布丁娃娃</t>
  </si>
  <si>
    <t>玩具名称</t>
  </si>
  <si>
    <t>特殊材料</t>
  </si>
  <si>
    <t>产物材料</t>
  </si>
  <si>
    <t>所需卡片</t>
  </si>
  <si>
    <t>所需娃娃</t>
  </si>
  <si>
    <t>娃娃上限</t>
  </si>
  <si>
    <t>属性上限</t>
  </si>
  <si>
    <t>帆船</t>
  </si>
  <si>
    <t>帆船帆布</t>
  </si>
  <si>
    <t>钛合金 2、龙鳞 7</t>
  </si>
  <si>
    <t>暴走猫卡片</t>
  </si>
  <si>
    <t>暴走猫娃娃</t>
  </si>
  <si>
    <t>小船</t>
  </si>
  <si>
    <t>划船木桨</t>
  </si>
  <si>
    <t>柚木 12、貂皮 8</t>
  </si>
  <si>
    <t>水蛙卡片</t>
  </si>
  <si>
    <t>水蛙娃娃</t>
  </si>
  <si>
    <t>快艇</t>
  </si>
  <si>
    <t>快艇引擎</t>
  </si>
  <si>
    <t>铁杉 7、鳄鱼皮 10</t>
  </si>
  <si>
    <t>发呆哥布林卡片</t>
  </si>
  <si>
    <t>发呆哥布林娃娃</t>
  </si>
  <si>
    <t>游艇</t>
  </si>
  <si>
    <t>游艇引擎</t>
  </si>
  <si>
    <t>红豆杉 3、虎皮 8</t>
  </si>
  <si>
    <t>神秘宝箱卡片</t>
  </si>
  <si>
    <t>神秘宝箱娃娃</t>
  </si>
  <si>
    <t>卡车</t>
  </si>
  <si>
    <t>卡车引擎</t>
  </si>
  <si>
    <t>K金 6、鹿皮 12</t>
  </si>
  <si>
    <t>木头鹰卡片</t>
  </si>
  <si>
    <t>木头鹰娃娃</t>
  </si>
  <si>
    <t>货车</t>
  </si>
  <si>
    <t>货车引擎</t>
  </si>
  <si>
    <t>合金钢 3、犀牛皮 11</t>
  </si>
  <si>
    <t>丛林剑妖卡片</t>
  </si>
  <si>
    <t>丛林剑妖娃娃</t>
  </si>
  <si>
    <t>货柜车</t>
  </si>
  <si>
    <t>货柜车引擎</t>
  </si>
  <si>
    <t>红豆杉 3、鳄鱼皮 12</t>
  </si>
  <si>
    <t>蓝天剑妖卡片</t>
  </si>
  <si>
    <t>蓝天剑妖娃娃</t>
  </si>
  <si>
    <t>推土机</t>
  </si>
  <si>
    <t>铲刀</t>
  </si>
  <si>
    <t>柚木 12、牛皮 14</t>
  </si>
  <si>
    <t>爱水虎卡片</t>
  </si>
  <si>
    <t>爱水虎娃娃</t>
  </si>
  <si>
    <t>挖土机</t>
  </si>
  <si>
    <t>挖斗</t>
  </si>
  <si>
    <t>合金钢 3、虎皮 8</t>
  </si>
  <si>
    <t>阿波罗狮卡片</t>
  </si>
  <si>
    <t>阿波罗狮娃娃</t>
  </si>
  <si>
    <t>钻孔机</t>
  </si>
  <si>
    <t>钻孔</t>
  </si>
  <si>
    <t>钨合金 1、鳄鱼皮 10</t>
  </si>
  <si>
    <t>火焰剑妖卡片</t>
  </si>
  <si>
    <t>火焰剑妖娃娃</t>
  </si>
  <si>
    <t>单翼螺旋桨飞机</t>
  </si>
  <si>
    <t>单翼螺旋桨</t>
  </si>
  <si>
    <t>银块 8、鹿皮 10</t>
  </si>
  <si>
    <t>金度鸟卡片</t>
  </si>
  <si>
    <t>金度鸟娃娃</t>
  </si>
  <si>
    <t>双翼螺旋桨飞机</t>
  </si>
  <si>
    <t>双翼螺旋桨</t>
  </si>
  <si>
    <t>黑檀木 8、犀牛皮 12</t>
  </si>
  <si>
    <t>石像剑妖卡片</t>
  </si>
  <si>
    <t>石像剑妖娃娃</t>
  </si>
  <si>
    <t>零式战斗机</t>
  </si>
  <si>
    <t>零式螺旋桨</t>
  </si>
  <si>
    <t>钨合金 1、虎皮 10</t>
  </si>
  <si>
    <t>蒸汽火车头</t>
  </si>
  <si>
    <t>燃煤锅炉</t>
  </si>
  <si>
    <t>白杨木 20、羊皮 16</t>
  </si>
  <si>
    <t>白猫卡片</t>
  </si>
  <si>
    <t>白猫娃娃</t>
  </si>
  <si>
    <t>电车</t>
  </si>
  <si>
    <t>电动引擎</t>
  </si>
  <si>
    <t>白金块 4、鳄鱼皮 10</t>
  </si>
  <si>
    <t>水铃兰卡片</t>
  </si>
  <si>
    <t>水铃兰娃娃</t>
  </si>
  <si>
    <t>子弹列车</t>
  </si>
  <si>
    <t>磁浮引擎</t>
  </si>
  <si>
    <t>红豆杉 3、龙鳞 7</t>
  </si>
  <si>
    <t>勇敢哥布林卡片</t>
  </si>
  <si>
    <t>勇敢哥布林娃娃</t>
  </si>
  <si>
    <t>子弹</t>
  </si>
  <si>
    <t>子弹火药</t>
  </si>
  <si>
    <t>银块 8、牛皮 14</t>
  </si>
  <si>
    <t>幽灵卡片</t>
  </si>
  <si>
    <t>幽灵娃娃</t>
  </si>
  <si>
    <t>飞弹</t>
  </si>
  <si>
    <t>飞弹燃料</t>
  </si>
  <si>
    <t>合金钢 3、龙鳞 7</t>
  </si>
  <si>
    <t>火箭</t>
  </si>
  <si>
    <t>火箭燃料</t>
  </si>
  <si>
    <t>钛合金 6、貂皮 8</t>
  </si>
  <si>
    <t>白银剑妖卡片</t>
  </si>
  <si>
    <t>白银剑妖娃娃</t>
  </si>
  <si>
    <t>手榴弹</t>
  </si>
  <si>
    <t>传统炸弹</t>
  </si>
  <si>
    <t>铁块 12、鹿皮 16</t>
  </si>
  <si>
    <t>绵绵狗卡片</t>
  </si>
  <si>
    <t>绵绵狗娃娃</t>
  </si>
  <si>
    <t>深水炸弹</t>
  </si>
  <si>
    <t>黄色炸药</t>
  </si>
  <si>
    <t>抹茶麻薯卡片</t>
  </si>
  <si>
    <t>抹茶麻薯娃娃</t>
  </si>
  <si>
    <t>原子弹</t>
  </si>
  <si>
    <t>浓缩铀</t>
  </si>
  <si>
    <t>钛合金 2、虎皮 8</t>
  </si>
  <si>
    <t>光乌贼卡片</t>
  </si>
  <si>
    <t>光乌贼娃娃</t>
  </si>
  <si>
    <t>装甲车</t>
  </si>
  <si>
    <t>装甲车履带</t>
  </si>
  <si>
    <t>K金 6、牛皮 14</t>
  </si>
  <si>
    <t>邪恶激斗蛙卡片</t>
  </si>
  <si>
    <t>邪恶激斗蛙娃娃</t>
  </si>
  <si>
    <t>坦克车</t>
  </si>
  <si>
    <t>坦克车履带</t>
  </si>
  <si>
    <t>铁杉 7、犀牛皮 14</t>
  </si>
  <si>
    <t>微笑猫咪卡片</t>
  </si>
  <si>
    <t>微笑猫咪娃娃</t>
  </si>
  <si>
    <t>自走炮</t>
  </si>
  <si>
    <t>自走炮履带</t>
  </si>
  <si>
    <t>黑檀木 8、龙鳞 8</t>
  </si>
  <si>
    <t>火鸟卡片</t>
  </si>
  <si>
    <t>火鸟娃娃</t>
  </si>
  <si>
    <t>会掉落的幻兽</t>
  </si>
  <si>
    <t>幻兽出没地点</t>
  </si>
  <si>
    <t>大象</t>
  </si>
  <si>
    <t>达克女妖</t>
  </si>
  <si>
    <t>流浪抠拉</t>
  </si>
  <si>
    <t>水晶机器人</t>
  </si>
  <si>
    <t>白开水</t>
  </si>
  <si>
    <t>树皮独角仙</t>
  </si>
  <si>
    <t>试炼洞窟B3</t>
  </si>
  <si>
    <t>威奇迷宫B2</t>
  </si>
  <si>
    <t>翡翠种子</t>
  </si>
  <si>
    <t>辣手魔女</t>
  </si>
  <si>
    <t>金抠拉</t>
  </si>
  <si>
    <t>蓝抠拉</t>
  </si>
  <si>
    <t>试炼洞窟B1</t>
  </si>
  <si>
    <t>珍珠种子</t>
  </si>
  <si>
    <t>金属魔</t>
  </si>
  <si>
    <t>铁甲狮鸠</t>
  </si>
  <si>
    <t>巨岩岛</t>
  </si>
  <si>
    <t>黑铃兰</t>
  </si>
  <si>
    <t>南猫咪森林</t>
  </si>
  <si>
    <t>暴走猫</t>
  </si>
  <si>
    <t>黄铜机器人</t>
  </si>
  <si>
    <t>阳光司瓦诺</t>
  </si>
  <si>
    <t>金属蜻蜓</t>
  </si>
  <si>
    <t>鲍鱼菇</t>
  </si>
  <si>
    <t>化石独角仙</t>
  </si>
  <si>
    <t>断头谷</t>
  </si>
  <si>
    <t>荷花池塘</t>
  </si>
  <si>
    <t>黑钢种子</t>
  </si>
  <si>
    <t>拜金魔女</t>
  </si>
  <si>
    <t>跑路鳄鱼</t>
  </si>
  <si>
    <t>恒星独角仙</t>
  </si>
  <si>
    <t>冥界洞窟B3</t>
  </si>
  <si>
    <t>百花谷</t>
  </si>
  <si>
    <t>神灯精灵</t>
  </si>
  <si>
    <t>游泳企鹅</t>
  </si>
  <si>
    <t>厄斯女妖</t>
  </si>
  <si>
    <t>臭美哆</t>
  </si>
  <si>
    <t>木猕猴</t>
  </si>
  <si>
    <t>赤尾鸟</t>
  </si>
  <si>
    <t>阳光森林</t>
  </si>
  <si>
    <t>神奇合成券</t>
  </si>
  <si>
    <t>蓝恶魔</t>
  </si>
  <si>
    <t>挖土大可兽</t>
  </si>
  <si>
    <t>钻洞企鹅</t>
  </si>
  <si>
    <t>光脚大可兽</t>
  </si>
  <si>
    <t>威士忌</t>
  </si>
  <si>
    <t>黑豹</t>
  </si>
  <si>
    <t>油水鳄鱼</t>
  </si>
  <si>
    <t>乌鸦</t>
  </si>
  <si>
    <t>威奇迷宫B1</t>
  </si>
  <si>
    <t>强力解毒剂</t>
  </si>
  <si>
    <t>痞子鳄鱼</t>
  </si>
  <si>
    <t>冷艳豹</t>
  </si>
  <si>
    <t>蓝眼雀</t>
  </si>
  <si>
    <t>柔情司瓦诺</t>
  </si>
  <si>
    <t>黑森林北面</t>
  </si>
  <si>
    <t>坦林平原</t>
  </si>
  <si>
    <t>超级强胃散</t>
  </si>
  <si>
    <t>三级封印石</t>
  </si>
  <si>
    <t>白皮怕啃</t>
  </si>
  <si>
    <t>窝卷虫</t>
  </si>
  <si>
    <t>金太郎</t>
  </si>
  <si>
    <t>树蛙</t>
  </si>
  <si>
    <t>水兔兔</t>
  </si>
  <si>
    <t>水灵兽</t>
  </si>
  <si>
    <t>激战蜥蜴</t>
  </si>
  <si>
    <t>热血波里</t>
  </si>
  <si>
    <t>土波里</t>
  </si>
  <si>
    <t>泥娃娃</t>
  </si>
  <si>
    <t>光点蛇</t>
  </si>
  <si>
    <t>毒骷髅</t>
  </si>
  <si>
    <t>邪恶木偶</t>
  </si>
  <si>
    <t>黑狗兄</t>
  </si>
  <si>
    <t>金Q兽</t>
  </si>
  <si>
    <t>爬木蝎</t>
  </si>
  <si>
    <t>木鸠兽</t>
  </si>
  <si>
    <t>水Q兽</t>
  </si>
  <si>
    <t>法亚象</t>
  </si>
  <si>
    <t>沙漠毒蝎</t>
  </si>
  <si>
    <t>金光企鹅</t>
  </si>
  <si>
    <t>谷林蜂</t>
  </si>
  <si>
    <t>万圣节炸弹</t>
  </si>
  <si>
    <t>火枫</t>
  </si>
  <si>
    <t>土蜂</t>
  </si>
  <si>
    <t>黑森林</t>
  </si>
  <si>
    <t>绿尾鸟</t>
  </si>
  <si>
    <t>趴趴迷宮B3</t>
  </si>
  <si>
    <t>米夏岛</t>
  </si>
  <si>
    <t>巴斯密洞B3</t>
  </si>
  <si>
    <t>巴斯密洞B1</t>
  </si>
  <si>
    <t>哈啾岛</t>
  </si>
  <si>
    <t>南绿野</t>
  </si>
  <si>
    <t>听说岛</t>
  </si>
  <si>
    <t>神灯沙漠</t>
  </si>
  <si>
    <t>趴趴迷宫B1</t>
  </si>
  <si>
    <t>以利暗沙漠</t>
  </si>
  <si>
    <t>大盜巢穴B1</t>
  </si>
  <si>
    <t>彩色田</t>
  </si>
  <si>
    <t>杀手鳄鱼</t>
  </si>
  <si>
    <t>金澄水晶</t>
  </si>
  <si>
    <t>金星</t>
  </si>
  <si>
    <t>金盏菊</t>
  </si>
  <si>
    <t>高登女妖</t>
  </si>
  <si>
    <t>生啤酒</t>
  </si>
  <si>
    <t>西迷路森林</t>
  </si>
  <si>
    <t>绿光水晶</t>
  </si>
  <si>
    <t>木龙人</t>
  </si>
  <si>
    <t>木头猫咪</t>
  </si>
  <si>
    <t>叶绿树</t>
  </si>
  <si>
    <t>北猫咪森林</t>
  </si>
  <si>
    <t>水居蟹</t>
  </si>
  <si>
    <t>蓝玫瑰</t>
  </si>
  <si>
    <t>布鲁怕啃</t>
  </si>
  <si>
    <t>芒果布丁</t>
  </si>
  <si>
    <t>莫名其妙花丛</t>
  </si>
  <si>
    <t>红豆麻薯</t>
  </si>
  <si>
    <t>火鸟</t>
  </si>
  <si>
    <t>特美哆</t>
  </si>
  <si>
    <t>土质水晶</t>
  </si>
  <si>
    <t>厄斯飞马</t>
  </si>
  <si>
    <t>挖土虫</t>
  </si>
  <si>
    <t>捉人树</t>
  </si>
  <si>
    <t>白袍恶灵</t>
  </si>
  <si>
    <t>梦想花园</t>
  </si>
  <si>
    <t>洗碗精</t>
  </si>
  <si>
    <t>白猫</t>
  </si>
  <si>
    <t>莱特女妖</t>
  </si>
  <si>
    <t>墨汁毛虫</t>
  </si>
  <si>
    <t>晚宴企鹅</t>
  </si>
  <si>
    <t>东迷路森林</t>
  </si>
  <si>
    <t>火焰之狼</t>
  </si>
  <si>
    <t>黄金象</t>
  </si>
  <si>
    <t>暴暴企鹅</t>
  </si>
  <si>
    <t>大野狼洞窟</t>
  </si>
  <si>
    <t>遗跡地下4F</t>
  </si>
  <si>
    <t>体质宝石</t>
  </si>
  <si>
    <t>派艾波</t>
  </si>
  <si>
    <t>冰蝎</t>
  </si>
  <si>
    <t>金属大可兽</t>
  </si>
  <si>
    <t>土怕啃</t>
  </si>
  <si>
    <t>秃秃岛</t>
  </si>
  <si>
    <t>遗跡地下5F</t>
  </si>
  <si>
    <t>秃鹰</t>
  </si>
  <si>
    <t>蝎子</t>
  </si>
  <si>
    <t>伍德女妖</t>
  </si>
  <si>
    <t>水晶山</t>
  </si>
  <si>
    <t>智慧宝石</t>
  </si>
  <si>
    <t>暗黑半龙</t>
  </si>
  <si>
    <t>狮鸠兽</t>
  </si>
  <si>
    <t>瓦特女妖</t>
  </si>
  <si>
    <t>坦拉娜迷宫</t>
  </si>
  <si>
    <t>幸运宝石</t>
  </si>
  <si>
    <t>熊</t>
  </si>
  <si>
    <t>妮莎骆驼</t>
  </si>
  <si>
    <t>沉睡村</t>
  </si>
  <si>
    <t>大盗巢穴B3</t>
  </si>
  <si>
    <t>金属玩偶</t>
  </si>
  <si>
    <t>守护天使</t>
  </si>
  <si>
    <t>哈尼蜂</t>
  </si>
  <si>
    <t>糖果山</t>
  </si>
  <si>
    <t>宝石兽</t>
  </si>
  <si>
    <t>攻击宝石</t>
  </si>
  <si>
    <t>火幽灵</t>
  </si>
  <si>
    <t>闪光精灵</t>
  </si>
  <si>
    <t>法亚女妖</t>
  </si>
  <si>
    <t>土美哆</t>
  </si>
  <si>
    <t>秘密古墓B3</t>
  </si>
  <si>
    <t>贪心骆驼</t>
  </si>
  <si>
    <t>金光骷髅</t>
  </si>
  <si>
    <t>史来姆</t>
  </si>
  <si>
    <t>水猫鹰</t>
  </si>
  <si>
    <t>火艾波</t>
  </si>
  <si>
    <t>麻薯兔</t>
  </si>
  <si>
    <t>木菊</t>
  </si>
  <si>
    <t>水铃兰</t>
  </si>
  <si>
    <t>龙窟B1</t>
  </si>
  <si>
    <t>不知名迷宫</t>
  </si>
  <si>
    <t>阴森魔女</t>
  </si>
  <si>
    <t>哈辛岛</t>
  </si>
  <si>
    <t>属性调整药丸</t>
  </si>
  <si>
    <t>金美哆</t>
  </si>
  <si>
    <t>绿怕啃</t>
  </si>
  <si>
    <t>青美哆</t>
  </si>
  <si>
    <t>杀手蜂</t>
  </si>
  <si>
    <t>焦糖布丁</t>
  </si>
  <si>
    <t>金系变色稳定剂</t>
  </si>
  <si>
    <t>摇钱树</t>
  </si>
  <si>
    <t>水雷河豚</t>
  </si>
  <si>
    <t>木系变色稳定剂</t>
  </si>
  <si>
    <t>绿恶魔</t>
  </si>
  <si>
    <t>水系变色稳定剂</t>
  </si>
  <si>
    <t>灌水树</t>
  </si>
  <si>
    <t>挖洞鼬</t>
  </si>
  <si>
    <t>彩花村</t>
  </si>
  <si>
    <t>火系变色稳定剂</t>
  </si>
  <si>
    <t>土系变色稳定剂</t>
  </si>
  <si>
    <t>岩魔人</t>
  </si>
  <si>
    <t>花木豹</t>
  </si>
  <si>
    <t>光系变色稳定剂</t>
  </si>
  <si>
    <t>小白蜂</t>
  </si>
  <si>
    <t>暗系变色稳定剂</t>
  </si>
  <si>
    <t>黑心魔</t>
  </si>
  <si>
    <t>地狱修士</t>
  </si>
  <si>
    <t>土蜻蜓</t>
  </si>
  <si>
    <t>吃人岛</t>
  </si>
  <si>
    <t>忘情水</t>
  </si>
  <si>
    <t>赤焰巨人</t>
  </si>
  <si>
    <t>试炼洞窟B2</t>
  </si>
  <si>
    <t>幻兽模具</t>
  </si>
  <si>
    <t>土土抠拉</t>
  </si>
  <si>
    <t>烟雾鼬</t>
  </si>
  <si>
    <t>冰山独角仙</t>
  </si>
  <si>
    <t>幻兽营养剂</t>
  </si>
  <si>
    <t>刺河豚</t>
  </si>
  <si>
    <t>恶鬼</t>
  </si>
  <si>
    <t>香菇</t>
  </si>
  <si>
    <t>火焰祭司</t>
  </si>
  <si>
    <t>梅子布丁</t>
  </si>
  <si>
    <t>粉红豹</t>
  </si>
  <si>
    <t>金针菇</t>
  </si>
  <si>
    <t>日光猿</t>
  </si>
  <si>
    <t>红蜻蜓</t>
  </si>
  <si>
    <t>钱鼠</t>
  </si>
  <si>
    <t>银行贵宾卡</t>
  </si>
  <si>
    <t>木Q兽</t>
  </si>
  <si>
    <t>爱水骆驼</t>
  </si>
  <si>
    <t>火鸠兽</t>
  </si>
  <si>
    <t>巨角蝎</t>
  </si>
  <si>
    <t>绿抠拉</t>
  </si>
  <si>
    <t>酸美哆</t>
  </si>
  <si>
    <t>南极企鹅</t>
  </si>
  <si>
    <t>白头树</t>
  </si>
  <si>
    <t>极道鳄鱼</t>
  </si>
  <si>
    <t>木讷司瓦诺</t>
  </si>
  <si>
    <t>冥界洞窟B1</t>
  </si>
  <si>
    <t>摩摩岛</t>
  </si>
  <si>
    <t>遗跡地下3F</t>
  </si>
  <si>
    <t>毒河豚</t>
  </si>
  <si>
    <t>金壳独角仙</t>
  </si>
  <si>
    <t>产物名称</t>
  </si>
  <si>
    <t>水晶原石</t>
  </si>
  <si>
    <t>金绵蛇</t>
  </si>
  <si>
    <t>金钱蛙</t>
  </si>
  <si>
    <t>木姆</t>
  </si>
  <si>
    <t>竹蜻蜓</t>
  </si>
  <si>
    <t>木蟹</t>
  </si>
  <si>
    <t>水窝虫</t>
  </si>
  <si>
    <t>土鹰</t>
  </si>
  <si>
    <t>泥土兽</t>
  </si>
  <si>
    <t>攀岩雪怪</t>
  </si>
  <si>
    <t>光偶</t>
  </si>
  <si>
    <t>黑刚石</t>
  </si>
  <si>
    <t>黑蟹</t>
  </si>
  <si>
    <t>暗黑兽</t>
  </si>
  <si>
    <t>金银湖</t>
  </si>
  <si>
    <t>沉睡迷宫</t>
  </si>
  <si>
    <t>月光村</t>
  </si>
  <si>
    <t>史盖窝克海</t>
  </si>
  <si>
    <t>紫晶原石</t>
  </si>
  <si>
    <t>黄金兽</t>
  </si>
  <si>
    <t>卡金龙</t>
  </si>
  <si>
    <t>火旺</t>
  </si>
  <si>
    <t>登山雪怪</t>
  </si>
  <si>
    <t>怨灵</t>
  </si>
  <si>
    <t>暗夜</t>
  </si>
  <si>
    <t>尼克草原</t>
  </si>
  <si>
    <t>天鹅湖</t>
  </si>
  <si>
    <t>猫眼石原石</t>
  </si>
  <si>
    <t>黄金云</t>
  </si>
  <si>
    <t>浮石怪</t>
  </si>
  <si>
    <t>祖母绿原石</t>
  </si>
  <si>
    <t>恋水蝶</t>
  </si>
  <si>
    <t>半龙人</t>
  </si>
  <si>
    <t>孔雀石原石</t>
  </si>
  <si>
    <t>琥珀原石</t>
  </si>
  <si>
    <t>黄金虎</t>
  </si>
  <si>
    <t>水蟹</t>
  </si>
  <si>
    <t>光波波</t>
  </si>
  <si>
    <t>椰子岛</t>
  </si>
  <si>
    <t>天青石原石</t>
  </si>
  <si>
    <t>金属瓢虫</t>
  </si>
  <si>
    <t>积雨云</t>
  </si>
  <si>
    <t>冰狼</t>
  </si>
  <si>
    <t>土猫鹰</t>
  </si>
  <si>
    <t>白骨头</t>
  </si>
  <si>
    <t>黑宝宝</t>
  </si>
  <si>
    <t>巴斯密洞B2</t>
  </si>
  <si>
    <t>玛瑙原石</t>
  </si>
  <si>
    <t>抹茶麻薯</t>
  </si>
  <si>
    <t>土炸弹</t>
  </si>
  <si>
    <t>红毛猿</t>
  </si>
  <si>
    <t>鸡蛋布丁</t>
  </si>
  <si>
    <t>牛奶布丁</t>
  </si>
  <si>
    <t>郁金香岛</t>
  </si>
  <si>
    <t>黄宝石原石</t>
  </si>
  <si>
    <t>金蹄飞马</t>
  </si>
  <si>
    <t>木居蟹</t>
  </si>
  <si>
    <t>呆呆熊</t>
  </si>
  <si>
    <t>月光蟹</t>
  </si>
  <si>
    <t>暗黑虎</t>
  </si>
  <si>
    <t>绿蜻蜓</t>
  </si>
  <si>
    <t>热情司瓦诺</t>
  </si>
  <si>
    <t>草莓布丁</t>
  </si>
  <si>
    <t>咕噜岛</t>
  </si>
  <si>
    <t>罐头地道B2</t>
  </si>
  <si>
    <t>绿宝石原石</t>
  </si>
  <si>
    <t>金毛雪怪</t>
  </si>
  <si>
    <t>木乃伊</t>
  </si>
  <si>
    <t>泡泡章鱼</t>
  </si>
  <si>
    <t>路比</t>
  </si>
  <si>
    <t>炙石怪</t>
  </si>
  <si>
    <t>暗夜雪怪</t>
  </si>
  <si>
    <t>蘑菇</t>
  </si>
  <si>
    <t>黑洞独角仙</t>
  </si>
  <si>
    <t>暗夜蜻蜓</t>
  </si>
  <si>
    <t>趴趴迷宫B2</t>
  </si>
  <si>
    <t>拇指花园</t>
  </si>
  <si>
    <t>红宝石原石</t>
  </si>
  <si>
    <t>小金猫头鹰</t>
  </si>
  <si>
    <t>金角兽</t>
  </si>
  <si>
    <t>呆头狼</t>
  </si>
  <si>
    <t>木狮</t>
  </si>
  <si>
    <t>海马</t>
  </si>
  <si>
    <t>火爆小贼</t>
  </si>
  <si>
    <t>黏土蟹</t>
  </si>
  <si>
    <t>土居蟹</t>
  </si>
  <si>
    <t>白毛猿</t>
  </si>
  <si>
    <t>枫叶菇</t>
  </si>
  <si>
    <t>朴实司瓦诺</t>
  </si>
  <si>
    <t>玫瑰岛</t>
  </si>
  <si>
    <t>相关地点</t>
    <phoneticPr fontId="2" type="noConversion"/>
  </si>
  <si>
    <t>冶炼</t>
  </si>
  <si>
    <t>研磨</t>
  </si>
  <si>
    <t>研磨</t>
    <phoneticPr fontId="2" type="noConversion"/>
  </si>
  <si>
    <t>酿酒</t>
  </si>
  <si>
    <t>酿酒</t>
    <phoneticPr fontId="2" type="noConversion"/>
  </si>
  <si>
    <t>调配</t>
  </si>
  <si>
    <t>调配</t>
    <phoneticPr fontId="2" type="noConversion"/>
  </si>
  <si>
    <t>烹饪</t>
  </si>
  <si>
    <t>烹饪</t>
    <phoneticPr fontId="2" type="noConversion"/>
  </si>
  <si>
    <t>纺织</t>
  </si>
  <si>
    <t>纺织</t>
    <phoneticPr fontId="2" type="noConversion"/>
  </si>
  <si>
    <t>伐木</t>
  </si>
  <si>
    <t>伐木</t>
    <phoneticPr fontId="2" type="noConversion"/>
  </si>
  <si>
    <t>挖矿</t>
  </si>
  <si>
    <t>钓鱼</t>
  </si>
  <si>
    <t>狩猎</t>
  </si>
  <si>
    <t>采集</t>
  </si>
  <si>
    <t>农事</t>
  </si>
  <si>
    <t>——</t>
  </si>
  <si>
    <t>——</t>
    <phoneticPr fontId="2" type="noConversion"/>
  </si>
  <si>
    <t>吉恩、绿夫</t>
    <phoneticPr fontId="2" type="noConversion"/>
  </si>
  <si>
    <t>伊利</t>
    <phoneticPr fontId="2" type="noConversion"/>
  </si>
  <si>
    <t>三大出生村</t>
    <phoneticPr fontId="2" type="noConversion"/>
  </si>
  <si>
    <t>青鸟城木材店 121，152</t>
  </si>
  <si>
    <t xml:space="preserve">金银城打铁铺 98,420 </t>
    <phoneticPr fontId="2" type="noConversion"/>
  </si>
  <si>
    <t>彩虹城鱼店 254，381</t>
    <phoneticPr fontId="2" type="noConversion"/>
  </si>
  <si>
    <t>青鸟城肉品店 40，2</t>
    <phoneticPr fontId="2" type="noConversion"/>
  </si>
  <si>
    <t xml:space="preserve">彩虹城农家 175,387 </t>
    <phoneticPr fontId="2" type="noConversion"/>
  </si>
  <si>
    <t>刀类武器</t>
  </si>
  <si>
    <t>吉恩村打铁铺亚可达</t>
  </si>
  <si>
    <t>20个铁块</t>
  </si>
  <si>
    <t>打铁铺</t>
  </si>
  <si>
    <t>彩虹城打铁铺 93，560</t>
  </si>
  <si>
    <t>斧类武器</t>
  </si>
  <si>
    <t>伊利村打铁铺达卡尔</t>
  </si>
  <si>
    <t>金银城打铁铺 98,420</t>
  </si>
  <si>
    <t>剑类武器</t>
  </si>
  <si>
    <t>算盘制作</t>
  </si>
  <si>
    <t>伊利村奸商</t>
  </si>
  <si>
    <t>20个银块</t>
  </si>
  <si>
    <t>鞭子制作</t>
  </si>
  <si>
    <t>绿夫村蝴蝶夫人</t>
  </si>
  <si>
    <t>20张鹿皮</t>
  </si>
  <si>
    <t>青鸟城打铁铺 155，363</t>
  </si>
  <si>
    <t>拳套制作</t>
  </si>
  <si>
    <t>吉恩村泉</t>
  </si>
  <si>
    <t>20捆麻纱</t>
  </si>
  <si>
    <t>裁缝店</t>
  </si>
  <si>
    <t>彩虹城裁缝店 249，588</t>
  </si>
  <si>
    <t>吉恩村诺得尔</t>
  </si>
  <si>
    <t>伊利村凯吉</t>
  </si>
  <si>
    <t>20个白杨木</t>
  </si>
  <si>
    <t>吉恩村雅莉娜</t>
  </si>
  <si>
    <t>绿夫村娜塔丽</t>
  </si>
  <si>
    <t>10张棉布</t>
  </si>
  <si>
    <t>绿夫村道格</t>
  </si>
  <si>
    <t>20张牛皮</t>
  </si>
  <si>
    <t>盔甲制作</t>
  </si>
  <si>
    <t>伊利村贝卡那卡</t>
  </si>
  <si>
    <t>棒类武器</t>
  </si>
  <si>
    <t>绿夫村木材店卡那多</t>
  </si>
  <si>
    <t>木工店</t>
  </si>
  <si>
    <t>绿夫村布克西</t>
  </si>
  <si>
    <t>5张棉布</t>
  </si>
  <si>
    <t>5张毛料</t>
  </si>
  <si>
    <t>青鸟城裁缝店 145，140</t>
  </si>
  <si>
    <t>镶嵌</t>
  </si>
  <si>
    <t>伊利村宝石店利亚姆</t>
  </si>
  <si>
    <t>10个珊瑚</t>
  </si>
  <si>
    <t>宝石店</t>
  </si>
  <si>
    <t>金银城宝石店 68,384</t>
  </si>
  <si>
    <t>10个紫晶原石</t>
  </si>
  <si>
    <t>任何地点</t>
  </si>
  <si>
    <t>吉恩村医院医生可恩</t>
  </si>
  <si>
    <t>绿夫村医院里基</t>
  </si>
  <si>
    <t>伊利村医院医生诺尔</t>
  </si>
  <si>
    <t>20个附贝子</t>
  </si>
  <si>
    <t>医院</t>
  </si>
  <si>
    <t>青鸟城医院 111，582</t>
  </si>
  <si>
    <t>吉恩村食品店欧巴桑</t>
  </si>
  <si>
    <t>绿夫村食品店芬朵</t>
  </si>
  <si>
    <t>伊利村食品店罗雅</t>
  </si>
  <si>
    <t>10个羊肉</t>
  </si>
  <si>
    <t>食品店</t>
  </si>
  <si>
    <t>彩虹城食品店 224，647</t>
  </si>
  <si>
    <t>吉恩村酒馆吉鲁尔</t>
  </si>
  <si>
    <t>绿夫村酒馆提米</t>
  </si>
  <si>
    <t>伊利村酒馆贝汉</t>
  </si>
  <si>
    <t>10个稻米</t>
  </si>
  <si>
    <t>酒馆</t>
  </si>
  <si>
    <t>金银城酒馆 57,292</t>
  </si>
  <si>
    <t>吉恩村打铁铺老板</t>
  </si>
  <si>
    <t>绿夫村打铁铺达雷尔</t>
  </si>
  <si>
    <t>融合費用</t>
  </si>
  <si>
    <t>寵物融合</t>
  </si>
  <si>
    <t>一般降級</t>
  </si>
  <si>
    <r>
      <t>等級</t>
    </r>
    <r>
      <rPr>
        <sz val="11"/>
        <rFont val="Times New Roman"/>
        <family val="1"/>
      </rPr>
      <t>91~100</t>
    </r>
  </si>
  <si>
    <t>牛奶</t>
  </si>
  <si>
    <r>
      <t>等級</t>
    </r>
    <r>
      <rPr>
        <sz val="11"/>
        <rFont val="Times New Roman"/>
        <family val="1"/>
      </rPr>
      <t>81~90</t>
    </r>
  </si>
  <si>
    <t>果汁</t>
  </si>
  <si>
    <r>
      <t>等級</t>
    </r>
    <r>
      <rPr>
        <sz val="11"/>
        <rFont val="Times New Roman"/>
        <family val="1"/>
      </rPr>
      <t>71~80</t>
    </r>
  </si>
  <si>
    <t>咖啡</t>
  </si>
  <si>
    <r>
      <t>等級</t>
    </r>
    <r>
      <rPr>
        <sz val="11"/>
        <rFont val="Times New Roman"/>
        <family val="1"/>
      </rPr>
      <t>61~70</t>
    </r>
  </si>
  <si>
    <t>青玉髓：魅力</t>
  </si>
  <si>
    <t>汽水</t>
  </si>
  <si>
    <r>
      <t>等級</t>
    </r>
    <r>
      <rPr>
        <sz val="11"/>
        <rFont val="Times New Roman"/>
        <family val="1"/>
      </rPr>
      <t>51~60</t>
    </r>
  </si>
  <si>
    <t>黃玉髓：幸運</t>
  </si>
  <si>
    <t>可樂</t>
  </si>
  <si>
    <r>
      <t>等級</t>
    </r>
    <r>
      <rPr>
        <sz val="11"/>
        <rFont val="Times New Roman"/>
        <family val="1"/>
      </rPr>
      <t>41~50</t>
    </r>
  </si>
  <si>
    <t>神秘石：智慧</t>
  </si>
  <si>
    <t>香檳</t>
  </si>
  <si>
    <r>
      <t>等級</t>
    </r>
    <r>
      <rPr>
        <sz val="11"/>
        <rFont val="Times New Roman"/>
        <family val="1"/>
      </rPr>
      <t>31~40</t>
    </r>
  </si>
  <si>
    <t>綠玉髓：體質</t>
  </si>
  <si>
    <t>開水</t>
  </si>
  <si>
    <r>
      <t>等級</t>
    </r>
    <r>
      <rPr>
        <sz val="11"/>
        <rFont val="Times New Roman"/>
        <family val="1"/>
      </rPr>
      <t>21~30</t>
    </r>
  </si>
  <si>
    <t>藍玉髓：敏捷</t>
  </si>
  <si>
    <t>雞精</t>
  </si>
  <si>
    <r>
      <t>等級</t>
    </r>
    <r>
      <rPr>
        <sz val="11"/>
        <rFont val="Times New Roman"/>
        <family val="1"/>
      </rPr>
      <t>11~20</t>
    </r>
  </si>
  <si>
    <t>紅玉髓：力量</t>
  </si>
  <si>
    <t>蔘湯</t>
  </si>
  <si>
    <r>
      <t>等級</t>
    </r>
    <r>
      <rPr>
        <sz val="11"/>
        <rFont val="Times New Roman"/>
        <family val="1"/>
      </rPr>
      <t>1~10</t>
    </r>
  </si>
  <si>
    <t>無寶石</t>
  </si>
  <si>
    <t>有寶石</t>
  </si>
  <si>
    <t>降級費用</t>
  </si>
  <si>
    <t>降級後數值</t>
  </si>
  <si>
    <t>使用道具</t>
  </si>
  <si>
    <t>第二隻寵的數值</t>
  </si>
  <si>
    <t>(不含玩具或配件,推車)</t>
  </si>
  <si>
    <t>原始數值</t>
  </si>
  <si>
    <t>寵物等級</t>
  </si>
  <si>
    <r>
      <t xml:space="preserve">寵物降級道具試算表 </t>
    </r>
    <r>
      <rPr>
        <sz val="11"/>
        <color indexed="10"/>
        <rFont val="新細明體"/>
        <family val="1"/>
        <charset val="134"/>
      </rPr>
      <t>請在黃色區域填上資料</t>
    </r>
  </si>
  <si>
    <t>寶石</t>
  </si>
  <si>
    <t>技能</t>
  </si>
  <si>
    <t>黃寶石</t>
  </si>
  <si>
    <t>豬頭</t>
  </si>
  <si>
    <t>綠玉髓</t>
  </si>
  <si>
    <t>狂亂</t>
  </si>
  <si>
    <t>露娜結石</t>
  </si>
  <si>
    <t>三連擊</t>
  </si>
  <si>
    <t>愚蠢</t>
  </si>
  <si>
    <t>亡命一擊</t>
  </si>
  <si>
    <t>約書亞石</t>
  </si>
  <si>
    <t>拉拉舞</t>
  </si>
  <si>
    <t>綠寶石</t>
  </si>
  <si>
    <t>白癡</t>
  </si>
  <si>
    <t>鑽石</t>
  </si>
  <si>
    <t>恢復術</t>
  </si>
  <si>
    <t>狄米斯石</t>
  </si>
  <si>
    <t>吸魂術</t>
  </si>
  <si>
    <t>瑪瑙</t>
  </si>
  <si>
    <t>裝死</t>
  </si>
  <si>
    <t>白寶石</t>
  </si>
  <si>
    <t>連擊</t>
  </si>
  <si>
    <t>紅寶石</t>
  </si>
  <si>
    <t>躲藏</t>
  </si>
  <si>
    <t>轉換</t>
  </si>
  <si>
    <t>藍寶石</t>
  </si>
  <si>
    <t>隱身</t>
  </si>
  <si>
    <t>惡魔石</t>
  </si>
  <si>
    <t>紅玉髓</t>
  </si>
  <si>
    <t>威脅</t>
  </si>
  <si>
    <t>賜福</t>
  </si>
  <si>
    <t>藍玉髓</t>
  </si>
  <si>
    <t>恐嚇</t>
  </si>
  <si>
    <t>寄生</t>
  </si>
  <si>
    <t>黃玉髓</t>
  </si>
  <si>
    <t>肉體強化</t>
  </si>
  <si>
    <t>元素結晶</t>
  </si>
  <si>
    <t>回春術</t>
  </si>
  <si>
    <t>超級強化</t>
  </si>
  <si>
    <t>靈魂石</t>
  </si>
  <si>
    <t>犧牲</t>
  </si>
  <si>
    <t>敏捷系数</t>
    <phoneticPr fontId="2" type="noConversion"/>
  </si>
  <si>
    <t>冲锋</t>
    <phoneticPr fontId="2" type="noConversion"/>
  </si>
  <si>
    <t>战士</t>
    <phoneticPr fontId="2" type="noConversion"/>
  </si>
  <si>
    <t>冲击</t>
    <phoneticPr fontId="2" type="noConversion"/>
  </si>
  <si>
    <t>保护</t>
    <phoneticPr fontId="2" type="noConversion"/>
  </si>
  <si>
    <t>大剑师</t>
    <phoneticPr fontId="2" type="noConversion"/>
  </si>
  <si>
    <t>不动剑</t>
    <phoneticPr fontId="2" type="noConversion"/>
  </si>
  <si>
    <t>祭司</t>
    <phoneticPr fontId="2" type="noConversion"/>
  </si>
  <si>
    <t>僧侣</t>
    <phoneticPr fontId="2" type="noConversion"/>
  </si>
  <si>
    <t>土遁术</t>
    <phoneticPr fontId="2" type="noConversion"/>
  </si>
  <si>
    <t>幻兽</t>
    <phoneticPr fontId="2" type="noConversion"/>
  </si>
  <si>
    <t>剑战</t>
    <phoneticPr fontId="2" type="noConversion"/>
  </si>
  <si>
    <t>木精之魂</t>
    <phoneticPr fontId="2" type="noConversion"/>
  </si>
  <si>
    <t>水疗术</t>
    <phoneticPr fontId="2" type="noConversion"/>
  </si>
  <si>
    <t>火焰刀</t>
    <phoneticPr fontId="2" type="noConversion"/>
  </si>
  <si>
    <t>急救术</t>
    <phoneticPr fontId="2" type="noConversion"/>
  </si>
  <si>
    <t>浪之舞</t>
    <phoneticPr fontId="2" type="noConversion"/>
  </si>
  <si>
    <t>风动闪</t>
    <phoneticPr fontId="2" type="noConversion"/>
  </si>
  <si>
    <t>地裂闪</t>
    <phoneticPr fontId="2" type="noConversion"/>
  </si>
  <si>
    <t>格斗家</t>
    <phoneticPr fontId="2" type="noConversion"/>
  </si>
  <si>
    <t>光术师</t>
    <phoneticPr fontId="2" type="noConversion"/>
  </si>
  <si>
    <t>波之舞</t>
    <phoneticPr fontId="2" type="noConversion"/>
  </si>
  <si>
    <t>治疗术</t>
    <phoneticPr fontId="2" type="noConversion"/>
  </si>
  <si>
    <t>武斗家</t>
    <phoneticPr fontId="2" type="noConversion"/>
  </si>
  <si>
    <t>巫师</t>
    <phoneticPr fontId="2" type="noConversion"/>
  </si>
  <si>
    <t>巨木连击</t>
    <phoneticPr fontId="2" type="noConversion"/>
  </si>
  <si>
    <t>金光魔刃</t>
    <phoneticPr fontId="2" type="noConversion"/>
  </si>
  <si>
    <t>硬皮术</t>
    <phoneticPr fontId="2" type="noConversion"/>
  </si>
  <si>
    <t>祭祀</t>
    <phoneticPr fontId="2" type="noConversion"/>
  </si>
  <si>
    <t>水神冰锥</t>
    <phoneticPr fontId="2" type="noConversion"/>
  </si>
  <si>
    <t>回复术</t>
    <phoneticPr fontId="2" type="noConversion"/>
  </si>
  <si>
    <t>狂战士</t>
    <phoneticPr fontId="2" type="noConversion"/>
  </si>
  <si>
    <t>大老板</t>
    <phoneticPr fontId="2" type="noConversion"/>
  </si>
  <si>
    <t>普卡攻击</t>
    <phoneticPr fontId="2" type="noConversion"/>
  </si>
  <si>
    <t>治愈之光</t>
    <phoneticPr fontId="2" type="noConversion"/>
  </si>
  <si>
    <t>回复之语</t>
    <phoneticPr fontId="2" type="noConversion"/>
  </si>
  <si>
    <t>光之六芒星</t>
    <phoneticPr fontId="2" type="noConversion"/>
  </si>
  <si>
    <t>法师</t>
    <phoneticPr fontId="2" type="noConversion"/>
  </si>
  <si>
    <t>生命夺取</t>
    <phoneticPr fontId="2" type="noConversion"/>
  </si>
  <si>
    <t>暗术师</t>
    <phoneticPr fontId="2" type="noConversion"/>
  </si>
  <si>
    <t>灵魂夺取</t>
    <phoneticPr fontId="2" type="noConversion"/>
  </si>
  <si>
    <t>愚蠢</t>
    <phoneticPr fontId="2" type="noConversion"/>
  </si>
  <si>
    <t>幻兽师</t>
    <phoneticPr fontId="2" type="noConversion"/>
  </si>
  <si>
    <t>观察</t>
    <phoneticPr fontId="2" type="noConversion"/>
  </si>
  <si>
    <t>金卡攻击</t>
    <phoneticPr fontId="2" type="noConversion"/>
  </si>
  <si>
    <t>空间爆裂术</t>
    <phoneticPr fontId="2" type="noConversion"/>
  </si>
  <si>
    <t>猪头（痴呆）</t>
    <phoneticPr fontId="2" type="noConversion"/>
  </si>
  <si>
    <t>躲藏</t>
    <phoneticPr fontId="2" type="noConversion"/>
  </si>
  <si>
    <t>毒击术</t>
    <phoneticPr fontId="2" type="noConversion"/>
  </si>
  <si>
    <t>刀狂</t>
    <phoneticPr fontId="2" type="noConversion"/>
  </si>
  <si>
    <t>海洋斩</t>
    <phoneticPr fontId="2" type="noConversion"/>
  </si>
  <si>
    <t>专著</t>
    <phoneticPr fontId="2" type="noConversion"/>
  </si>
  <si>
    <t>兽性激发</t>
    <phoneticPr fontId="2" type="noConversion"/>
  </si>
  <si>
    <t>白金卡攻击</t>
    <phoneticPr fontId="2" type="noConversion"/>
  </si>
  <si>
    <t>法师/僧侣</t>
    <phoneticPr fontId="2" type="noConversion"/>
  </si>
  <si>
    <t>全体再生</t>
    <phoneticPr fontId="2" type="noConversion"/>
  </si>
  <si>
    <t>梦魇咒</t>
    <phoneticPr fontId="2" type="noConversion"/>
  </si>
  <si>
    <t>弱体术</t>
    <phoneticPr fontId="2" type="noConversion"/>
  </si>
  <si>
    <t>斗气扩散</t>
    <phoneticPr fontId="2" type="noConversion"/>
  </si>
  <si>
    <t>愤怒</t>
    <phoneticPr fontId="2" type="noConversion"/>
  </si>
  <si>
    <t>同伴</t>
    <phoneticPr fontId="2" type="noConversion"/>
  </si>
  <si>
    <t>魔兽使</t>
    <phoneticPr fontId="2" type="noConversion"/>
  </si>
  <si>
    <t>合击</t>
    <phoneticPr fontId="2" type="noConversion"/>
  </si>
  <si>
    <t>落石术</t>
    <phoneticPr fontId="2" type="noConversion"/>
  </si>
  <si>
    <t>巨木之击</t>
    <phoneticPr fontId="2" type="noConversion"/>
  </si>
  <si>
    <t>肉体强化</t>
    <phoneticPr fontId="2" type="noConversion"/>
  </si>
  <si>
    <t>超级强化</t>
    <phoneticPr fontId="2" type="noConversion"/>
  </si>
  <si>
    <t>狂乱</t>
    <phoneticPr fontId="2" type="noConversion"/>
  </si>
  <si>
    <t>魔兽使</t>
    <phoneticPr fontId="2" type="noConversion"/>
  </si>
  <si>
    <t>火球术</t>
    <phoneticPr fontId="2" type="noConversion"/>
  </si>
  <si>
    <t>水之舞</t>
    <phoneticPr fontId="2" type="noConversion"/>
  </si>
  <si>
    <t>冰风暴</t>
    <phoneticPr fontId="2" type="noConversion"/>
  </si>
  <si>
    <t>软化术</t>
    <phoneticPr fontId="2" type="noConversion"/>
  </si>
  <si>
    <t>消融术</t>
    <phoneticPr fontId="2" type="noConversion"/>
  </si>
  <si>
    <t>大地之怒</t>
    <phoneticPr fontId="2" type="noConversion"/>
  </si>
  <si>
    <t>暗影缠身</t>
    <phoneticPr fontId="2" type="noConversion"/>
  </si>
  <si>
    <t>合体</t>
    <phoneticPr fontId="2" type="noConversion"/>
  </si>
  <si>
    <t>兽神冲击</t>
    <phoneticPr fontId="2" type="noConversion"/>
  </si>
  <si>
    <t>456木头人</t>
    <phoneticPr fontId="2" type="noConversion"/>
  </si>
  <si>
    <t>生命仪式</t>
    <phoneticPr fontId="2" type="noConversion"/>
  </si>
  <si>
    <t>毒云术</t>
    <phoneticPr fontId="2" type="noConversion"/>
  </si>
  <si>
    <t>禁言</t>
    <phoneticPr fontId="2" type="noConversion"/>
  </si>
  <si>
    <t>黑洞爆发</t>
    <phoneticPr fontId="2" type="noConversion"/>
  </si>
  <si>
    <t>禁咒</t>
    <phoneticPr fontId="2" type="noConversion"/>
  </si>
  <si>
    <t>职业</t>
    <phoneticPr fontId="2" type="noConversion"/>
  </si>
  <si>
    <t>技能</t>
    <phoneticPr fontId="2" type="noConversion"/>
  </si>
  <si>
    <t>职业</t>
    <phoneticPr fontId="2" type="noConversion"/>
  </si>
  <si>
    <t>魔法护盾</t>
    <phoneticPr fontId="2" type="noConversion"/>
  </si>
  <si>
    <t>僧侣</t>
    <phoneticPr fontId="2" type="noConversion"/>
  </si>
  <si>
    <t>魔法抵抗</t>
    <phoneticPr fontId="2" type="noConversion"/>
  </si>
  <si>
    <t>战士</t>
    <phoneticPr fontId="2" type="noConversion"/>
  </si>
  <si>
    <t>冲击</t>
    <phoneticPr fontId="2" type="noConversion"/>
  </si>
  <si>
    <t>旅人</t>
    <phoneticPr fontId="2" type="noConversion"/>
  </si>
  <si>
    <t>幻影</t>
    <phoneticPr fontId="2" type="noConversion"/>
  </si>
  <si>
    <t>祭司</t>
    <phoneticPr fontId="2" type="noConversion"/>
  </si>
  <si>
    <t>炙焰刀</t>
    <phoneticPr fontId="2" type="noConversion"/>
  </si>
  <si>
    <t>恐惧术</t>
    <phoneticPr fontId="2" type="noConversion"/>
  </si>
  <si>
    <t>剑战</t>
    <phoneticPr fontId="2" type="noConversion"/>
  </si>
  <si>
    <t>飞翔闪</t>
    <phoneticPr fontId="2" type="noConversion"/>
  </si>
  <si>
    <t>僧侣</t>
    <phoneticPr fontId="2" type="noConversion"/>
  </si>
  <si>
    <t>魔刃术</t>
    <phoneticPr fontId="2" type="noConversion"/>
  </si>
  <si>
    <t>再生术</t>
    <phoneticPr fontId="2" type="noConversion"/>
  </si>
  <si>
    <t>大剑师</t>
    <phoneticPr fontId="2" type="noConversion"/>
  </si>
  <si>
    <t>天翔闪</t>
    <phoneticPr fontId="2" type="noConversion"/>
  </si>
  <si>
    <t>格斗家</t>
    <phoneticPr fontId="2" type="noConversion"/>
  </si>
  <si>
    <t>神疗气</t>
    <phoneticPr fontId="2" type="noConversion"/>
  </si>
  <si>
    <t>光术师</t>
    <phoneticPr fontId="2" type="noConversion"/>
  </si>
  <si>
    <t>奇迹之光</t>
    <phoneticPr fontId="2" type="noConversion"/>
  </si>
  <si>
    <t>天使召唤</t>
    <phoneticPr fontId="2" type="noConversion"/>
  </si>
  <si>
    <t>炙焰护盾</t>
    <phoneticPr fontId="2" type="noConversion"/>
  </si>
  <si>
    <t>强化再生</t>
    <phoneticPr fontId="2" type="noConversion"/>
  </si>
  <si>
    <t>龙翔闪</t>
    <phoneticPr fontId="2" type="noConversion"/>
  </si>
  <si>
    <t>斧战</t>
    <phoneticPr fontId="2" type="noConversion"/>
  </si>
  <si>
    <t>裂风斧</t>
    <phoneticPr fontId="2" type="noConversion"/>
  </si>
  <si>
    <t>武斗家</t>
    <phoneticPr fontId="2" type="noConversion"/>
  </si>
  <si>
    <t>命疗气</t>
    <phoneticPr fontId="2" type="noConversion"/>
  </si>
  <si>
    <t>商人</t>
    <phoneticPr fontId="2" type="noConversion"/>
  </si>
  <si>
    <t>收买</t>
    <phoneticPr fontId="2" type="noConversion"/>
  </si>
  <si>
    <t>守护术</t>
    <phoneticPr fontId="2" type="noConversion"/>
  </si>
  <si>
    <t>圣灵祝福</t>
    <phoneticPr fontId="2" type="noConversion"/>
  </si>
  <si>
    <t>幻兽</t>
    <phoneticPr fontId="2" type="noConversion"/>
  </si>
  <si>
    <t>白痴</t>
    <phoneticPr fontId="2" type="noConversion"/>
  </si>
  <si>
    <t>拉拉舞</t>
    <phoneticPr fontId="2" type="noConversion"/>
  </si>
  <si>
    <t>金针放射</t>
    <phoneticPr fontId="2" type="noConversion"/>
  </si>
  <si>
    <t>回复术</t>
    <phoneticPr fontId="2" type="noConversion"/>
  </si>
  <si>
    <t>万毒攻心</t>
    <phoneticPr fontId="2" type="noConversion"/>
  </si>
  <si>
    <t>二连斩</t>
    <phoneticPr fontId="2" type="noConversion"/>
  </si>
  <si>
    <t>惊雷斧</t>
    <phoneticPr fontId="2" type="noConversion"/>
  </si>
  <si>
    <t>狂战士</t>
    <phoneticPr fontId="2" type="noConversion"/>
  </si>
  <si>
    <t>急电斧</t>
    <phoneticPr fontId="2" type="noConversion"/>
  </si>
  <si>
    <t>残像</t>
    <phoneticPr fontId="2" type="noConversion"/>
  </si>
  <si>
    <t>心疗气</t>
    <phoneticPr fontId="2" type="noConversion"/>
  </si>
  <si>
    <t>贿赂</t>
    <phoneticPr fontId="2" type="noConversion"/>
  </si>
  <si>
    <t>巫师</t>
    <phoneticPr fontId="2" type="noConversion"/>
  </si>
  <si>
    <t>碎金刀</t>
    <phoneticPr fontId="2" type="noConversion"/>
  </si>
  <si>
    <t>硬皮术</t>
    <phoneticPr fontId="2" type="noConversion"/>
  </si>
  <si>
    <t>法师</t>
    <phoneticPr fontId="2" type="noConversion"/>
  </si>
  <si>
    <t>裂金刀</t>
    <phoneticPr fontId="2" type="noConversion"/>
  </si>
  <si>
    <t>耀眼金光</t>
    <phoneticPr fontId="2" type="noConversion"/>
  </si>
  <si>
    <t>燃烧护甲</t>
    <phoneticPr fontId="2" type="noConversion"/>
  </si>
  <si>
    <t>诅咒术</t>
    <phoneticPr fontId="2" type="noConversion"/>
  </si>
  <si>
    <t>恐吓</t>
    <phoneticPr fontId="2" type="noConversion"/>
  </si>
  <si>
    <t>寄生</t>
    <phoneticPr fontId="2" type="noConversion"/>
  </si>
  <si>
    <t>神刃术</t>
    <phoneticPr fontId="2" type="noConversion"/>
  </si>
  <si>
    <t>金神斩</t>
    <phoneticPr fontId="2" type="noConversion"/>
  </si>
  <si>
    <t>冰刀术</t>
    <phoneticPr fontId="2" type="noConversion"/>
  </si>
  <si>
    <t>重生术</t>
    <phoneticPr fontId="2" type="noConversion"/>
  </si>
  <si>
    <t>水神冰锥</t>
    <phoneticPr fontId="2" type="noConversion"/>
  </si>
  <si>
    <t>召唤冰龙</t>
    <phoneticPr fontId="2" type="noConversion"/>
  </si>
  <si>
    <t>尖石冲</t>
    <phoneticPr fontId="2" type="noConversion"/>
  </si>
  <si>
    <t>巨木连击</t>
    <phoneticPr fontId="2" type="noConversion"/>
  </si>
  <si>
    <t>自然之力</t>
    <phoneticPr fontId="2" type="noConversion"/>
  </si>
  <si>
    <t>金光盾</t>
    <phoneticPr fontId="2" type="noConversion"/>
  </si>
  <si>
    <t>三连击</t>
    <phoneticPr fontId="2" type="noConversion"/>
  </si>
  <si>
    <t>裂地斩</t>
    <phoneticPr fontId="2" type="noConversion"/>
  </si>
  <si>
    <t>毒击术</t>
    <phoneticPr fontId="2" type="noConversion"/>
  </si>
  <si>
    <t>刀狂</t>
    <phoneticPr fontId="2" type="noConversion"/>
  </si>
  <si>
    <t>狂战士</t>
    <phoneticPr fontId="2" type="noConversion"/>
  </si>
  <si>
    <t>兽王劈</t>
    <phoneticPr fontId="2" type="noConversion"/>
  </si>
  <si>
    <t>旅人</t>
    <phoneticPr fontId="2" type="noConversion"/>
  </si>
  <si>
    <t>加速</t>
    <phoneticPr fontId="2" type="noConversion"/>
  </si>
  <si>
    <t>武斗家</t>
    <phoneticPr fontId="2" type="noConversion"/>
  </si>
  <si>
    <t>破空拳</t>
    <phoneticPr fontId="2" type="noConversion"/>
  </si>
  <si>
    <t>格斗家</t>
    <phoneticPr fontId="2" type="noConversion"/>
  </si>
  <si>
    <t>裂空拳</t>
    <phoneticPr fontId="2" type="noConversion"/>
  </si>
  <si>
    <t>灭空拳</t>
    <phoneticPr fontId="2" type="noConversion"/>
  </si>
  <si>
    <t>祝福术</t>
    <phoneticPr fontId="2" type="noConversion"/>
  </si>
  <si>
    <t>光术师</t>
    <phoneticPr fontId="2" type="noConversion"/>
  </si>
  <si>
    <t>恩惠之雨</t>
    <phoneticPr fontId="2" type="noConversion"/>
  </si>
  <si>
    <t>巫师</t>
    <phoneticPr fontId="2" type="noConversion"/>
  </si>
  <si>
    <t>血液蒸发</t>
    <phoneticPr fontId="2" type="noConversion"/>
  </si>
  <si>
    <t>召唤石魔</t>
    <phoneticPr fontId="2" type="noConversion"/>
  </si>
  <si>
    <t>法师/僧侣</t>
    <phoneticPr fontId="2" type="noConversion"/>
  </si>
  <si>
    <t>金芒术</t>
    <phoneticPr fontId="2" type="noConversion"/>
  </si>
  <si>
    <t>禁咒术</t>
    <phoneticPr fontId="2" type="noConversion"/>
  </si>
  <si>
    <t>幻兽</t>
    <phoneticPr fontId="2" type="noConversion"/>
  </si>
  <si>
    <t>隐身</t>
    <phoneticPr fontId="2" type="noConversion"/>
  </si>
  <si>
    <t>吸血</t>
    <phoneticPr fontId="2" type="noConversion"/>
  </si>
  <si>
    <t>吸魂术</t>
    <phoneticPr fontId="2" type="noConversion"/>
  </si>
  <si>
    <t>魔刃术</t>
    <phoneticPr fontId="2" type="noConversion"/>
  </si>
  <si>
    <t>冰刃术</t>
    <phoneticPr fontId="2" type="noConversion"/>
  </si>
  <si>
    <t>再生术</t>
    <phoneticPr fontId="2" type="noConversion"/>
  </si>
  <si>
    <t>三连斩</t>
    <phoneticPr fontId="2" type="noConversion"/>
  </si>
  <si>
    <t>刀战</t>
    <phoneticPr fontId="2" type="noConversion"/>
  </si>
  <si>
    <t>闪电斩</t>
    <phoneticPr fontId="2" type="noConversion"/>
  </si>
  <si>
    <t>骤雨斧</t>
    <phoneticPr fontId="2" type="noConversion"/>
  </si>
  <si>
    <t>专心</t>
    <phoneticPr fontId="2" type="noConversion"/>
  </si>
  <si>
    <t>断空拳</t>
    <phoneticPr fontId="2" type="noConversion"/>
  </si>
  <si>
    <t>幻空拳</t>
    <phoneticPr fontId="2" type="noConversion"/>
  </si>
  <si>
    <t>圣言术</t>
    <phoneticPr fontId="2" type="noConversion"/>
  </si>
  <si>
    <t>召唤火神</t>
    <phoneticPr fontId="2" type="noConversion"/>
  </si>
  <si>
    <t>落石术</t>
    <phoneticPr fontId="2" type="noConversion"/>
  </si>
  <si>
    <t>法师/僧侣</t>
    <phoneticPr fontId="2" type="noConversion"/>
  </si>
  <si>
    <t>巨木之击</t>
    <phoneticPr fontId="2" type="noConversion"/>
  </si>
  <si>
    <t>旋涡术</t>
    <phoneticPr fontId="2" type="noConversion"/>
  </si>
  <si>
    <t>火焰冲击</t>
    <phoneticPr fontId="2" type="noConversion"/>
  </si>
  <si>
    <t>神木之击</t>
    <phoneticPr fontId="2" type="noConversion"/>
  </si>
  <si>
    <t>圣光弹</t>
    <phoneticPr fontId="2" type="noConversion"/>
  </si>
  <si>
    <t>虚弱术</t>
    <phoneticPr fontId="2" type="noConversion"/>
  </si>
  <si>
    <t>大地斩</t>
    <phoneticPr fontId="2" type="noConversion"/>
  </si>
  <si>
    <t>刀狂</t>
    <phoneticPr fontId="2" type="noConversion"/>
  </si>
  <si>
    <t>集气</t>
    <phoneticPr fontId="2" type="noConversion"/>
  </si>
  <si>
    <t>装死</t>
    <phoneticPr fontId="2" type="noConversion"/>
  </si>
  <si>
    <t>躲藏</t>
    <phoneticPr fontId="2" type="noConversion"/>
  </si>
  <si>
    <t>隐身</t>
    <phoneticPr fontId="2" type="noConversion"/>
  </si>
  <si>
    <t>战士</t>
    <phoneticPr fontId="2" type="noConversion"/>
  </si>
  <si>
    <t>四连斩</t>
    <phoneticPr fontId="2" type="noConversion"/>
  </si>
  <si>
    <t>天空斩</t>
    <phoneticPr fontId="2" type="noConversion"/>
  </si>
  <si>
    <t>战意</t>
    <phoneticPr fontId="2" type="noConversion"/>
  </si>
  <si>
    <t>魔兽使</t>
    <phoneticPr fontId="2" type="noConversion"/>
  </si>
  <si>
    <t>幻兽军团</t>
    <phoneticPr fontId="2" type="noConversion"/>
  </si>
  <si>
    <t>圣光弹</t>
    <phoneticPr fontId="2" type="noConversion"/>
  </si>
  <si>
    <t>法师</t>
    <phoneticPr fontId="2" type="noConversion"/>
  </si>
  <si>
    <t>多重裂金刀</t>
    <phoneticPr fontId="2" type="noConversion"/>
  </si>
  <si>
    <t>圣言术</t>
    <phoneticPr fontId="2" type="noConversion"/>
  </si>
  <si>
    <t>诅咒术</t>
    <phoneticPr fontId="2" type="noConversion"/>
  </si>
  <si>
    <t>凤翼斩</t>
    <phoneticPr fontId="2" type="noConversion"/>
  </si>
  <si>
    <t>幻兽师</t>
    <phoneticPr fontId="2" type="noConversion"/>
  </si>
  <si>
    <t>诱捕</t>
    <phoneticPr fontId="2" type="noConversion"/>
  </si>
  <si>
    <t>魔兽使</t>
    <phoneticPr fontId="2" type="noConversion"/>
  </si>
  <si>
    <t>安抚</t>
    <phoneticPr fontId="2" type="noConversion"/>
  </si>
  <si>
    <t>激励</t>
    <phoneticPr fontId="2" type="noConversion"/>
  </si>
  <si>
    <t>召唤武神</t>
    <phoneticPr fontId="2" type="noConversion"/>
  </si>
  <si>
    <t>大老板</t>
    <phoneticPr fontId="2" type="noConversion"/>
  </si>
  <si>
    <t>耍宝</t>
    <phoneticPr fontId="2" type="noConversion"/>
  </si>
  <si>
    <t>火焰流星</t>
    <phoneticPr fontId="2" type="noConversion"/>
  </si>
  <si>
    <t>炼狱之火</t>
    <phoneticPr fontId="2" type="noConversion"/>
  </si>
  <si>
    <t>123木头人</t>
    <phoneticPr fontId="2" type="noConversion"/>
  </si>
  <si>
    <t>火弹术</t>
    <phoneticPr fontId="2" type="noConversion"/>
  </si>
  <si>
    <t>暗术师</t>
    <phoneticPr fontId="2" type="noConversion"/>
  </si>
  <si>
    <t>死亡宣告</t>
    <phoneticPr fontId="2" type="noConversion"/>
  </si>
  <si>
    <t>火球术</t>
    <phoneticPr fontId="2" type="noConversion"/>
  </si>
  <si>
    <t>出手顺序</t>
    <phoneticPr fontId="2" type="noConversion"/>
  </si>
  <si>
    <t>光之使徒</t>
  </si>
  <si>
    <t>暗之使徒</t>
  </si>
  <si>
    <t>流星爆击(原)</t>
    <phoneticPr fontId="2" type="noConversion"/>
  </si>
  <si>
    <t>流星爆击(改)</t>
    <phoneticPr fontId="2" type="noConversion"/>
  </si>
  <si>
    <t>流爆改版以官方通知为准</t>
    <phoneticPr fontId="2" type="noConversion"/>
  </si>
  <si>
    <t>当前流爆未开放，预计改版</t>
    <phoneticPr fontId="2" type="noConversion"/>
  </si>
  <si>
    <t>出手顺序表（2019-07-10）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</si>
</sst>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&quot;×&quot;0.00"/>
  </numFmts>
  <fonts count="40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华文细黑"/>
      <family val="3"/>
      <charset val="134"/>
    </font>
    <font>
      <sz val="12"/>
      <name val="幼圆"/>
      <family val="3"/>
      <charset val="134"/>
    </font>
    <font>
      <sz val="12"/>
      <name val="黑体"/>
      <family val="3"/>
      <charset val="134"/>
    </font>
    <font>
      <b/>
      <sz val="10"/>
      <color indexed="14"/>
      <name val="华文细黑"/>
      <family val="3"/>
      <charset val="134"/>
    </font>
    <font>
      <b/>
      <sz val="26"/>
      <name val="华文彩云"/>
      <family val="3"/>
      <charset val="134"/>
    </font>
    <font>
      <sz val="10"/>
      <color indexed="10"/>
      <name val="华文细黑"/>
      <family val="3"/>
      <charset val="134"/>
    </font>
    <font>
      <sz val="16"/>
      <name val="黑体"/>
      <family val="3"/>
      <charset val="134"/>
    </font>
    <font>
      <sz val="10"/>
      <name val="幼圆"/>
      <family val="3"/>
      <charset val="134"/>
    </font>
    <font>
      <sz val="12"/>
      <name val="宋体"/>
      <family val="3"/>
      <charset val="134"/>
    </font>
    <font>
      <sz val="12"/>
      <name val="华文细黑"/>
      <family val="3"/>
      <charset val="134"/>
    </font>
    <font>
      <sz val="11"/>
      <name val="华文细黑"/>
      <family val="3"/>
      <charset val="134"/>
    </font>
    <font>
      <sz val="22"/>
      <name val="宋体"/>
      <family val="3"/>
      <charset val="134"/>
    </font>
    <font>
      <sz val="28"/>
      <name val="华文彩云"/>
      <family val="3"/>
      <charset val="134"/>
    </font>
    <font>
      <sz val="12"/>
      <name val="宋体"/>
      <family val="3"/>
      <charset val="134"/>
    </font>
    <font>
      <sz val="12"/>
      <name val="新細明體"/>
      <family val="1"/>
      <charset val="134"/>
    </font>
    <font>
      <sz val="11"/>
      <name val="新細明體"/>
      <family val="1"/>
      <charset val="134"/>
    </font>
    <font>
      <sz val="11"/>
      <color indexed="10"/>
      <name val="新細明體"/>
      <family val="1"/>
      <charset val="134"/>
    </font>
    <font>
      <sz val="11"/>
      <name val="Times New Roman"/>
      <family val="1"/>
    </font>
    <font>
      <b/>
      <sz val="11"/>
      <color indexed="10"/>
      <name val="新細明體"/>
      <family val="1"/>
      <charset val="134"/>
    </font>
    <font>
      <sz val="11"/>
      <color indexed="56"/>
      <name val="新細明體"/>
      <family val="1"/>
      <charset val="134"/>
    </font>
    <font>
      <sz val="12"/>
      <color indexed="8"/>
      <name val="新細明體"/>
      <family val="1"/>
      <charset val="134"/>
    </font>
    <font>
      <sz val="12"/>
      <color indexed="9"/>
      <name val="新細明體"/>
      <family val="1"/>
      <charset val="134"/>
    </font>
    <font>
      <b/>
      <sz val="18"/>
      <color indexed="56"/>
      <name val="新細明體"/>
      <family val="1"/>
      <charset val="134"/>
    </font>
    <font>
      <b/>
      <sz val="15"/>
      <color indexed="56"/>
      <name val="新細明體"/>
      <family val="1"/>
      <charset val="134"/>
    </font>
    <font>
      <b/>
      <sz val="13"/>
      <color indexed="56"/>
      <name val="新細明體"/>
      <family val="1"/>
      <charset val="134"/>
    </font>
    <font>
      <b/>
      <sz val="11"/>
      <color indexed="56"/>
      <name val="新細明體"/>
      <family val="1"/>
      <charset val="134"/>
    </font>
    <font>
      <b/>
      <sz val="12"/>
      <color indexed="8"/>
      <name val="新細明體"/>
      <family val="1"/>
      <charset val="134"/>
    </font>
    <font>
      <sz val="12"/>
      <color indexed="20"/>
      <name val="新細明體"/>
      <family val="1"/>
      <charset val="134"/>
    </font>
    <font>
      <b/>
      <sz val="12"/>
      <color indexed="52"/>
      <name val="新細明體"/>
      <family val="1"/>
      <charset val="134"/>
    </font>
    <font>
      <b/>
      <sz val="12"/>
      <color indexed="9"/>
      <name val="新細明體"/>
      <family val="1"/>
      <charset val="134"/>
    </font>
    <font>
      <sz val="12"/>
      <color indexed="10"/>
      <name val="新細明體"/>
      <family val="1"/>
      <charset val="134"/>
    </font>
    <font>
      <sz val="12"/>
      <color indexed="52"/>
      <name val="新細明體"/>
      <family val="1"/>
      <charset val="134"/>
    </font>
    <font>
      <b/>
      <sz val="12"/>
      <color indexed="63"/>
      <name val="新細明體"/>
      <family val="1"/>
      <charset val="134"/>
    </font>
    <font>
      <sz val="12"/>
      <color indexed="62"/>
      <name val="新細明體"/>
      <family val="1"/>
      <charset val="134"/>
    </font>
    <font>
      <i/>
      <sz val="12"/>
      <color indexed="23"/>
      <name val="新細明體"/>
      <family val="1"/>
      <charset val="134"/>
    </font>
    <font>
      <sz val="12"/>
      <color indexed="60"/>
      <name val="新細明體"/>
      <family val="1"/>
      <charset val="134"/>
    </font>
    <font>
      <b/>
      <sz val="16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AEAEA"/>
        <bgColor indexed="64"/>
      </patternFill>
    </fill>
  </fills>
  <borders count="5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3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7" fillId="16" borderId="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/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21" borderId="6" applyNumberFormat="0" applyAlignment="0" applyProtection="0">
      <alignment vertical="center"/>
    </xf>
    <xf numFmtId="0" fontId="32" fillId="22" borderId="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21" borderId="9" applyNumberFormat="0" applyAlignment="0" applyProtection="0">
      <alignment vertical="center"/>
    </xf>
    <xf numFmtId="0" fontId="36" fillId="7" borderId="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1" xfId="0" applyNumberFormat="1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textRotation="255" wrapText="1"/>
    </xf>
    <xf numFmtId="0" fontId="11" fillId="0" borderId="0" xfId="0" applyFont="1" applyBorder="1" applyAlignment="1">
      <alignment horizontal="center" vertical="center" textRotation="255" wrapText="1"/>
    </xf>
    <xf numFmtId="0" fontId="11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textRotation="255" wrapText="1"/>
    </xf>
    <xf numFmtId="0" fontId="8" fillId="0" borderId="10" xfId="0" applyFont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 shrinkToFit="1"/>
    </xf>
    <xf numFmtId="0" fontId="5" fillId="0" borderId="10" xfId="0" applyNumberFormat="1" applyFont="1" applyFill="1" applyBorder="1" applyAlignment="1">
      <alignment horizontal="center" vertical="center"/>
    </xf>
    <xf numFmtId="0" fontId="3" fillId="21" borderId="10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24" borderId="10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0" borderId="10" xfId="0" applyFont="1" applyFill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8" fillId="25" borderId="10" xfId="0" applyFont="1" applyFill="1" applyBorder="1" applyAlignment="1">
      <alignment horizontal="center" vertical="center" wrapText="1"/>
    </xf>
    <xf numFmtId="0" fontId="8" fillId="25" borderId="10" xfId="0" applyFont="1" applyFill="1" applyBorder="1" applyAlignment="1">
      <alignment horizontal="center" vertical="center"/>
    </xf>
    <xf numFmtId="0" fontId="8" fillId="25" borderId="0" xfId="0" applyFont="1" applyFill="1" applyBorder="1" applyAlignment="1">
      <alignment horizontal="center" vertical="center"/>
    </xf>
    <xf numFmtId="0" fontId="3" fillId="25" borderId="10" xfId="0" applyFont="1" applyFill="1" applyBorder="1" applyAlignment="1">
      <alignment horizontal="center" vertical="center" wrapText="1"/>
    </xf>
    <xf numFmtId="0" fontId="3" fillId="25" borderId="10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18" fillId="0" borderId="0" xfId="25" applyFont="1" applyProtection="1"/>
    <xf numFmtId="0" fontId="18" fillId="0" borderId="0" xfId="25" applyFont="1" applyAlignment="1" applyProtection="1">
      <alignment horizontal="center" vertical="center"/>
    </xf>
    <xf numFmtId="0" fontId="18" fillId="5" borderId="26" xfId="25" applyFont="1" applyFill="1" applyBorder="1" applyAlignment="1" applyProtection="1">
      <alignment horizontal="center" vertical="center"/>
    </xf>
    <xf numFmtId="0" fontId="19" fillId="5" borderId="27" xfId="25" applyFont="1" applyFill="1" applyBorder="1" applyAlignment="1" applyProtection="1">
      <alignment horizontal="center" vertical="center"/>
    </xf>
    <xf numFmtId="0" fontId="18" fillId="0" borderId="27" xfId="25" applyFont="1" applyBorder="1" applyProtection="1"/>
    <xf numFmtId="176" fontId="18" fillId="0" borderId="27" xfId="25" applyNumberFormat="1" applyFont="1" applyFill="1" applyBorder="1" applyAlignment="1" applyProtection="1">
      <alignment horizontal="center" vertical="center"/>
    </xf>
    <xf numFmtId="176" fontId="18" fillId="0" borderId="27" xfId="25" applyNumberFormat="1" applyFont="1" applyBorder="1" applyAlignment="1" applyProtection="1">
      <alignment horizontal="center" vertical="center"/>
    </xf>
    <xf numFmtId="0" fontId="19" fillId="0" borderId="28" xfId="25" applyFont="1" applyBorder="1" applyAlignment="1" applyProtection="1">
      <alignment horizontal="center" vertical="center"/>
    </xf>
    <xf numFmtId="0" fontId="18" fillId="5" borderId="29" xfId="25" applyFont="1" applyFill="1" applyBorder="1" applyProtection="1"/>
    <xf numFmtId="0" fontId="18" fillId="5" borderId="24" xfId="25" applyFont="1" applyFill="1" applyBorder="1" applyAlignment="1" applyProtection="1">
      <alignment horizontal="center" vertical="center"/>
    </xf>
    <xf numFmtId="0" fontId="18" fillId="0" borderId="24" xfId="25" applyFont="1" applyBorder="1" applyProtection="1"/>
    <xf numFmtId="176" fontId="18" fillId="3" borderId="24" xfId="25" applyNumberFormat="1" applyFont="1" applyFill="1" applyBorder="1" applyAlignment="1" applyProtection="1">
      <alignment horizontal="center" vertical="center"/>
    </xf>
    <xf numFmtId="176" fontId="18" fillId="2" borderId="24" xfId="25" applyNumberFormat="1" applyFont="1" applyFill="1" applyBorder="1" applyAlignment="1" applyProtection="1">
      <alignment horizontal="center" vertical="center"/>
    </xf>
    <xf numFmtId="0" fontId="18" fillId="0" borderId="30" xfId="25" applyFont="1" applyBorder="1" applyAlignment="1" applyProtection="1">
      <alignment horizontal="center" vertical="center"/>
    </xf>
    <xf numFmtId="0" fontId="18" fillId="5" borderId="31" xfId="25" applyFont="1" applyFill="1" applyBorder="1" applyAlignment="1" applyProtection="1">
      <alignment horizontal="center" vertical="center"/>
    </xf>
    <xf numFmtId="0" fontId="18" fillId="5" borderId="10" xfId="25" applyFont="1" applyFill="1" applyBorder="1" applyAlignment="1" applyProtection="1">
      <alignment horizontal="center" vertical="center"/>
    </xf>
    <xf numFmtId="0" fontId="18" fillId="0" borderId="10" xfId="25" applyFont="1" applyBorder="1" applyProtection="1"/>
    <xf numFmtId="176" fontId="18" fillId="3" borderId="10" xfId="25" applyNumberFormat="1" applyFont="1" applyFill="1" applyBorder="1" applyAlignment="1" applyProtection="1">
      <alignment horizontal="center" vertical="center"/>
    </xf>
    <xf numFmtId="176" fontId="18" fillId="2" borderId="10" xfId="25" applyNumberFormat="1" applyFont="1" applyFill="1" applyBorder="1" applyAlignment="1" applyProtection="1">
      <alignment horizontal="center" vertical="center"/>
    </xf>
    <xf numFmtId="0" fontId="18" fillId="0" borderId="32" xfId="25" applyFont="1" applyBorder="1" applyAlignment="1" applyProtection="1">
      <alignment horizontal="center" vertical="center"/>
    </xf>
    <xf numFmtId="0" fontId="18" fillId="0" borderId="10" xfId="25" applyFont="1" applyBorder="1" applyAlignment="1" applyProtection="1">
      <alignment horizontal="center" vertical="center"/>
    </xf>
    <xf numFmtId="0" fontId="21" fillId="0" borderId="10" xfId="25" applyFont="1" applyBorder="1" applyProtection="1"/>
    <xf numFmtId="0" fontId="19" fillId="3" borderId="10" xfId="25" applyFont="1" applyFill="1" applyBorder="1" applyAlignment="1" applyProtection="1">
      <alignment horizontal="center" vertical="center"/>
    </xf>
    <xf numFmtId="0" fontId="22" fillId="2" borderId="10" xfId="25" applyFont="1" applyFill="1" applyBorder="1" applyAlignment="1" applyProtection="1">
      <alignment horizontal="center" vertical="center"/>
    </xf>
    <xf numFmtId="0" fontId="19" fillId="0" borderId="32" xfId="25" applyFont="1" applyBorder="1" applyAlignment="1" applyProtection="1">
      <alignment horizontal="center" vertical="center"/>
    </xf>
    <xf numFmtId="0" fontId="18" fillId="0" borderId="31" xfId="25" applyFont="1" applyBorder="1" applyProtection="1"/>
    <xf numFmtId="0" fontId="18" fillId="0" borderId="12" xfId="25" applyFont="1" applyFill="1" applyBorder="1" applyAlignment="1" applyProtection="1">
      <alignment horizontal="center" vertical="center"/>
    </xf>
    <xf numFmtId="0" fontId="21" fillId="0" borderId="32" xfId="25" applyFont="1" applyBorder="1" applyAlignment="1" applyProtection="1">
      <alignment horizontal="center" vertical="center"/>
    </xf>
    <xf numFmtId="0" fontId="18" fillId="0" borderId="13" xfId="25" applyFont="1" applyBorder="1" applyAlignment="1" applyProtection="1">
      <alignment horizontal="center" vertical="center"/>
    </xf>
    <xf numFmtId="0" fontId="18" fillId="23" borderId="10" xfId="25" applyFont="1" applyFill="1" applyBorder="1" applyAlignment="1" applyProtection="1">
      <alignment horizontal="center" vertical="center"/>
      <protection locked="0"/>
    </xf>
    <xf numFmtId="0" fontId="19" fillId="0" borderId="33" xfId="25" applyFont="1" applyBorder="1" applyAlignment="1" applyProtection="1">
      <alignment horizontal="center" vertical="center"/>
    </xf>
    <xf numFmtId="0" fontId="17" fillId="0" borderId="10" xfId="25" applyBorder="1" applyProtection="1"/>
    <xf numFmtId="0" fontId="18" fillId="0" borderId="25" xfId="25" applyFont="1" applyFill="1" applyBorder="1" applyAlignment="1" applyProtection="1">
      <alignment horizontal="center" vertical="center"/>
    </xf>
    <xf numFmtId="0" fontId="18" fillId="0" borderId="34" xfId="25" applyFont="1" applyBorder="1" applyProtection="1"/>
    <xf numFmtId="0" fontId="18" fillId="0" borderId="12" xfId="25" applyFont="1" applyBorder="1" applyProtection="1"/>
    <xf numFmtId="0" fontId="18" fillId="0" borderId="23" xfId="25" applyFont="1" applyBorder="1" applyAlignment="1" applyProtection="1">
      <alignment horizontal="center" vertical="center"/>
    </xf>
    <xf numFmtId="0" fontId="18" fillId="23" borderId="12" xfId="25" applyFont="1" applyFill="1" applyBorder="1" applyAlignment="1" applyProtection="1">
      <alignment horizontal="center" vertical="center"/>
      <protection locked="0"/>
    </xf>
    <xf numFmtId="0" fontId="19" fillId="0" borderId="35" xfId="25" applyFont="1" applyBorder="1" applyAlignment="1" applyProtection="1">
      <alignment horizontal="center" vertical="center"/>
    </xf>
    <xf numFmtId="0" fontId="18" fillId="0" borderId="0" xfId="25" applyFont="1" applyAlignment="1" applyProtection="1">
      <alignment horizontal="center"/>
    </xf>
    <xf numFmtId="0" fontId="0" fillId="0" borderId="0" xfId="0" applyFill="1" applyAlignment="1">
      <alignment horizontal="center" vertical="center"/>
    </xf>
    <xf numFmtId="0" fontId="1" fillId="26" borderId="36" xfId="0" applyFont="1" applyFill="1" applyBorder="1" applyAlignment="1">
      <alignment horizontal="center" vertical="center"/>
    </xf>
    <xf numFmtId="0" fontId="1" fillId="26" borderId="37" xfId="0" applyFont="1" applyFill="1" applyBorder="1" applyAlignment="1">
      <alignment horizontal="center" vertical="center"/>
    </xf>
    <xf numFmtId="0" fontId="1" fillId="26" borderId="38" xfId="0" applyFont="1" applyFill="1" applyBorder="1" applyAlignment="1">
      <alignment horizontal="center" vertical="center"/>
    </xf>
    <xf numFmtId="0" fontId="1" fillId="26" borderId="39" xfId="0" applyFont="1" applyFill="1" applyBorder="1" applyAlignment="1">
      <alignment horizontal="center" vertical="center"/>
    </xf>
    <xf numFmtId="0" fontId="1" fillId="26" borderId="40" xfId="0" applyFont="1" applyFill="1" applyBorder="1" applyAlignment="1">
      <alignment horizontal="center" vertical="center"/>
    </xf>
    <xf numFmtId="0" fontId="1" fillId="26" borderId="41" xfId="0" applyFont="1" applyFill="1" applyBorder="1" applyAlignment="1">
      <alignment horizontal="center" vertical="center"/>
    </xf>
    <xf numFmtId="0" fontId="0" fillId="27" borderId="32" xfId="0" applyFill="1" applyBorder="1" applyAlignment="1">
      <alignment horizontal="center" vertical="center"/>
    </xf>
    <xf numFmtId="0" fontId="1" fillId="27" borderId="14" xfId="0" applyFont="1" applyFill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1" fillId="27" borderId="42" xfId="0" applyFont="1" applyFill="1" applyBorder="1" applyAlignment="1">
      <alignment horizontal="center" vertical="center"/>
    </xf>
    <xf numFmtId="0" fontId="0" fillId="27" borderId="43" xfId="0" applyFill="1" applyBorder="1" applyAlignment="1">
      <alignment horizontal="center" vertical="center"/>
    </xf>
    <xf numFmtId="0" fontId="1" fillId="27" borderId="45" xfId="0" applyFont="1" applyFill="1" applyBorder="1" applyAlignment="1">
      <alignment horizontal="center" vertical="center"/>
    </xf>
    <xf numFmtId="0" fontId="1" fillId="27" borderId="46" xfId="0" applyFont="1" applyFill="1" applyBorder="1" applyAlignment="1">
      <alignment horizontal="center" vertical="center"/>
    </xf>
    <xf numFmtId="0" fontId="1" fillId="27" borderId="47" xfId="0" applyFont="1" applyFill="1" applyBorder="1" applyAlignment="1">
      <alignment horizontal="center" vertical="center"/>
    </xf>
    <xf numFmtId="0" fontId="18" fillId="2" borderId="28" xfId="25" applyFont="1" applyFill="1" applyBorder="1" applyAlignment="1" applyProtection="1">
      <alignment horizontal="center"/>
    </xf>
    <xf numFmtId="0" fontId="18" fillId="2" borderId="27" xfId="25" applyFont="1" applyFill="1" applyBorder="1" applyAlignment="1" applyProtection="1">
      <alignment horizontal="center"/>
    </xf>
    <xf numFmtId="0" fontId="18" fillId="2" borderId="26" xfId="25" applyFont="1" applyFill="1" applyBorder="1" applyAlignment="1" applyProtection="1">
      <alignment horizontal="center"/>
    </xf>
    <xf numFmtId="0" fontId="18" fillId="0" borderId="13" xfId="25" applyFont="1" applyBorder="1" applyAlignment="1" applyProtection="1">
      <alignment horizontal="center" vertical="center"/>
    </xf>
    <xf numFmtId="0" fontId="17" fillId="0" borderId="10" xfId="25" applyBorder="1" applyProtection="1"/>
    <xf numFmtId="0" fontId="19" fillId="0" borderId="10" xfId="25" applyFont="1" applyBorder="1" applyAlignment="1" applyProtection="1">
      <alignment horizontal="center" vertical="center"/>
    </xf>
    <xf numFmtId="0" fontId="18" fillId="5" borderId="10" xfId="25" applyFont="1" applyFill="1" applyBorder="1" applyAlignment="1" applyProtection="1">
      <alignment horizontal="center" vertical="center"/>
    </xf>
    <xf numFmtId="0" fontId="18" fillId="5" borderId="31" xfId="25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>
      <alignment horizontal="center" vertical="center" textRotation="255" wrapText="1"/>
    </xf>
    <xf numFmtId="0" fontId="5" fillId="0" borderId="10" xfId="0" applyFont="1" applyFill="1" applyBorder="1" applyAlignment="1">
      <alignment horizontal="center" vertical="center" textRotation="255"/>
    </xf>
    <xf numFmtId="0" fontId="7" fillId="0" borderId="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textRotation="255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9" fillId="0" borderId="13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textRotation="255"/>
    </xf>
    <xf numFmtId="0" fontId="9" fillId="0" borderId="10" xfId="0" applyFont="1" applyFill="1" applyBorder="1" applyAlignment="1">
      <alignment horizontal="center" vertical="center" textRotation="255"/>
    </xf>
    <xf numFmtId="0" fontId="10" fillId="0" borderId="10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textRotation="255" wrapText="1"/>
    </xf>
    <xf numFmtId="0" fontId="9" fillId="0" borderId="0" xfId="0" applyFont="1" applyFill="1" applyBorder="1" applyAlignment="1">
      <alignment horizontal="center" vertical="center" textRotation="255" wrapText="1"/>
    </xf>
    <xf numFmtId="0" fontId="9" fillId="0" borderId="18" xfId="0" applyFont="1" applyFill="1" applyBorder="1" applyAlignment="1">
      <alignment horizontal="center" vertical="center" textRotation="255" wrapText="1"/>
    </xf>
    <xf numFmtId="0" fontId="9" fillId="0" borderId="20" xfId="0" applyFont="1" applyFill="1" applyBorder="1" applyAlignment="1">
      <alignment horizontal="center" vertical="center" textRotation="255" wrapText="1"/>
    </xf>
    <xf numFmtId="0" fontId="9" fillId="0" borderId="10" xfId="0" applyFont="1" applyFill="1" applyBorder="1" applyAlignment="1">
      <alignment horizontal="center" vertical="center" textRotation="255" wrapText="1"/>
    </xf>
    <xf numFmtId="0" fontId="9" fillId="0" borderId="24" xfId="0" applyFont="1" applyFill="1" applyBorder="1" applyAlignment="1">
      <alignment horizontal="center" vertical="center" textRotation="255" wrapText="1"/>
    </xf>
    <xf numFmtId="0" fontId="9" fillId="0" borderId="25" xfId="0" applyFont="1" applyFill="1" applyBorder="1" applyAlignment="1">
      <alignment horizontal="center" vertical="center" textRotation="255" wrapText="1"/>
    </xf>
    <xf numFmtId="0" fontId="9" fillId="0" borderId="12" xfId="0" applyFont="1" applyFill="1" applyBorder="1" applyAlignment="1">
      <alignment horizontal="center" vertical="center" textRotation="255" wrapText="1"/>
    </xf>
    <xf numFmtId="0" fontId="12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textRotation="255" wrapText="1"/>
    </xf>
    <xf numFmtId="0" fontId="7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20" borderId="10" xfId="0" applyFont="1" applyFill="1" applyBorder="1" applyAlignment="1">
      <alignment horizontal="center" vertical="center" wrapText="1"/>
    </xf>
    <xf numFmtId="0" fontId="7" fillId="0" borderId="22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 textRotation="255"/>
    </xf>
    <xf numFmtId="0" fontId="7" fillId="0" borderId="0" xfId="0" applyNumberFormat="1" applyFont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0" fillId="27" borderId="48" xfId="0" applyFill="1" applyBorder="1" applyAlignment="1">
      <alignment horizontal="center" vertical="center"/>
    </xf>
    <xf numFmtId="0" fontId="0" fillId="27" borderId="49" xfId="0" applyFill="1" applyBorder="1" applyAlignment="1">
      <alignment horizontal="center" vertical="center"/>
    </xf>
    <xf numFmtId="0" fontId="0" fillId="27" borderId="33" xfId="0" applyFill="1" applyBorder="1" applyAlignment="1">
      <alignment horizontal="center" vertical="center"/>
    </xf>
    <xf numFmtId="0" fontId="0" fillId="27" borderId="15" xfId="0" applyFill="1" applyBorder="1" applyAlignment="1">
      <alignment horizontal="center" vertical="center"/>
    </xf>
    <xf numFmtId="0" fontId="0" fillId="27" borderId="42" xfId="0" applyFill="1" applyBorder="1" applyAlignment="1">
      <alignment horizontal="center" vertical="center"/>
    </xf>
    <xf numFmtId="0" fontId="0" fillId="27" borderId="10" xfId="0" applyFill="1" applyBorder="1" applyAlignment="1">
      <alignment horizontal="center" vertical="center"/>
    </xf>
    <xf numFmtId="177" fontId="1" fillId="26" borderId="37" xfId="0" applyNumberFormat="1" applyFont="1" applyFill="1" applyBorder="1" applyAlignment="1">
      <alignment horizontal="center" vertical="center"/>
    </xf>
    <xf numFmtId="177" fontId="1" fillId="27" borderId="14" xfId="0" applyNumberFormat="1" applyFont="1" applyFill="1" applyBorder="1" applyAlignment="1">
      <alignment horizontal="center" vertical="center"/>
    </xf>
    <xf numFmtId="177" fontId="0" fillId="27" borderId="10" xfId="0" applyNumberFormat="1" applyFill="1" applyBorder="1" applyAlignment="1">
      <alignment horizontal="center" vertical="center"/>
    </xf>
    <xf numFmtId="177" fontId="0" fillId="27" borderId="10" xfId="0" applyNumberFormat="1" applyFill="1" applyBorder="1" applyAlignment="1">
      <alignment horizontal="center" vertical="center"/>
    </xf>
    <xf numFmtId="177" fontId="0" fillId="27" borderId="24" xfId="0" applyNumberFormat="1" applyFill="1" applyBorder="1" applyAlignment="1">
      <alignment horizontal="center" vertical="center"/>
    </xf>
    <xf numFmtId="177" fontId="0" fillId="27" borderId="25" xfId="0" applyNumberFormat="1" applyFill="1" applyBorder="1" applyAlignment="1">
      <alignment horizontal="center" vertical="center"/>
    </xf>
    <xf numFmtId="177" fontId="0" fillId="27" borderId="12" xfId="0" applyNumberFormat="1" applyFill="1" applyBorder="1" applyAlignment="1">
      <alignment horizontal="center" vertical="center"/>
    </xf>
    <xf numFmtId="177" fontId="0" fillId="27" borderId="44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39" fillId="0" borderId="50" xfId="0" applyFont="1" applyBorder="1" applyAlignment="1">
      <alignment horizontal="center" vertical="center"/>
    </xf>
  </cellXfs>
  <cellStyles count="42">
    <cellStyle name="20% - 輔色1" xfId="1"/>
    <cellStyle name="20% - 輔色2" xfId="2"/>
    <cellStyle name="20% - 輔色3" xfId="3"/>
    <cellStyle name="20% - 輔色4" xfId="4"/>
    <cellStyle name="20% - 輔色5" xfId="5"/>
    <cellStyle name="20% - 輔色6" xfId="6"/>
    <cellStyle name="40% - 輔色1" xfId="7"/>
    <cellStyle name="40% - 輔色2" xfId="8"/>
    <cellStyle name="40% - 輔色3" xfId="9"/>
    <cellStyle name="40% - 輔色4" xfId="10"/>
    <cellStyle name="40% - 輔色5" xfId="11"/>
    <cellStyle name="40% - 輔色6" xfId="12"/>
    <cellStyle name="60% - 輔色1" xfId="13"/>
    <cellStyle name="60% - 輔色2" xfId="14"/>
    <cellStyle name="60% - 輔色3" xfId="15"/>
    <cellStyle name="60% - 輔色4" xfId="16"/>
    <cellStyle name="60% - 輔色5" xfId="17"/>
    <cellStyle name="60% - 輔色6" xfId="18"/>
    <cellStyle name="備註" xfId="19"/>
    <cellStyle name="標題" xfId="20"/>
    <cellStyle name="標題 1" xfId="21"/>
    <cellStyle name="標題 2" xfId="22"/>
    <cellStyle name="標題 3" xfId="23"/>
    <cellStyle name="標題 4" xfId="24"/>
    <cellStyle name="常规" xfId="0" builtinId="0"/>
    <cellStyle name="常规 2" xfId="25"/>
    <cellStyle name="輔色1" xfId="26"/>
    <cellStyle name="輔色2" xfId="27"/>
    <cellStyle name="輔色3" xfId="28"/>
    <cellStyle name="輔色4" xfId="29"/>
    <cellStyle name="輔色5" xfId="30"/>
    <cellStyle name="輔色6" xfId="31"/>
    <cellStyle name="合計" xfId="32"/>
    <cellStyle name="壞" xfId="33"/>
    <cellStyle name="計算方式" xfId="34"/>
    <cellStyle name="檢查儲存格" xfId="35"/>
    <cellStyle name="警告文字" xfId="36"/>
    <cellStyle name="連結的儲存格" xfId="37"/>
    <cellStyle name="輸出" xfId="38"/>
    <cellStyle name="輸入" xfId="39"/>
    <cellStyle name="說明文字" xfId="40"/>
    <cellStyle name="中等" xfId="41"/>
  </cellStyles>
  <dxfs count="1058">
    <dxf>
      <font>
        <b/>
        <i val="0"/>
        <color rgb="FF00B050"/>
      </font>
      <fill>
        <patternFill>
          <bgColor rgb="FFFF99FF"/>
        </patternFill>
      </fill>
    </dxf>
    <dxf>
      <font>
        <b/>
        <i val="0"/>
        <color rgb="FFC0000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rgb="FF00B05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7030A0"/>
      </font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ont>
        <color rgb="FF00B050"/>
      </font>
      <fill>
        <patternFill>
          <bgColor rgb="FFFF99FF"/>
        </patternFill>
      </fill>
    </dxf>
    <dxf>
      <font>
        <color rgb="FFC00000"/>
      </font>
      <fill>
        <patternFill>
          <bgColor rgb="FFFF99FF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rgb="FFFF99FF"/>
        </patternFill>
      </fill>
    </dxf>
    <dxf>
      <font>
        <color rgb="FF00B050"/>
      </font>
      <fill>
        <patternFill>
          <bgColor rgb="FF66FFFF"/>
        </patternFill>
      </fill>
    </dxf>
    <dxf>
      <font>
        <b val="0"/>
        <i/>
        <color auto="1"/>
      </font>
      <fill>
        <patternFill>
          <bgColor rgb="FF66FFFF"/>
        </patternFill>
      </fill>
    </dxf>
    <dxf>
      <font>
        <color rgb="FF7030A0"/>
      </font>
      <fill>
        <patternFill>
          <bgColor rgb="FF66FFFF"/>
        </patternFill>
      </fill>
    </dxf>
    <dxf>
      <font>
        <color rgb="FFFF0000"/>
      </font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 val="0"/>
        <i/>
      </font>
      <fill>
        <patternFill>
          <bgColor rgb="FFFF99FF"/>
        </patternFill>
      </fill>
    </dxf>
    <dxf>
      <font>
        <b/>
        <i val="0"/>
        <color rgb="FF00B050"/>
      </font>
      <fill>
        <patternFill>
          <bgColor rgb="FFFF99FF"/>
        </patternFill>
      </fill>
    </dxf>
    <dxf>
      <font>
        <b/>
        <i val="0"/>
        <color rgb="FFC0000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rgb="FF00B05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7030A0"/>
      </font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ont>
        <color rgb="FF00B050"/>
      </font>
      <fill>
        <patternFill>
          <bgColor rgb="FFFF99FF"/>
        </patternFill>
      </fill>
    </dxf>
    <dxf>
      <font>
        <color rgb="FFC00000"/>
      </font>
      <fill>
        <patternFill>
          <bgColor rgb="FFFF99FF"/>
        </patternFill>
      </fill>
    </dxf>
    <dxf>
      <font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rgb="FFFF99FF"/>
        </patternFill>
      </fill>
    </dxf>
    <dxf>
      <font>
        <color rgb="FF00B050"/>
      </font>
      <fill>
        <patternFill>
          <bgColor rgb="FF66FFFF"/>
        </patternFill>
      </fill>
    </dxf>
    <dxf>
      <font>
        <b val="0"/>
        <i/>
        <color auto="1"/>
      </font>
      <fill>
        <patternFill>
          <bgColor rgb="FF66FFFF"/>
        </patternFill>
      </fill>
    </dxf>
    <dxf>
      <font>
        <color rgb="FF7030A0"/>
      </font>
      <fill>
        <patternFill>
          <bgColor rgb="FF66FFFF"/>
        </patternFill>
      </fill>
    </dxf>
    <dxf>
      <font>
        <color rgb="FFFF0000"/>
      </font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/>
        <i val="0"/>
        <color rgb="FFC00000"/>
      </font>
      <fill>
        <patternFill>
          <bgColor rgb="FFFF99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rgb="FF00B05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7030A0"/>
      </font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ont>
        <color rgb="FFC00000"/>
      </font>
      <fill>
        <patternFill>
          <bgColor rgb="FFFF99FF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rgb="FFFF99FF"/>
        </patternFill>
      </fill>
    </dxf>
    <dxf>
      <font>
        <color rgb="FF00B050"/>
      </font>
      <fill>
        <patternFill>
          <bgColor rgb="FF66FFFF"/>
        </patternFill>
      </fill>
    </dxf>
    <dxf>
      <font>
        <b val="0"/>
        <i/>
        <color auto="1"/>
      </font>
      <fill>
        <patternFill>
          <bgColor rgb="FF66FFFF"/>
        </patternFill>
      </fill>
    </dxf>
    <dxf>
      <font>
        <color rgb="FF7030A0"/>
      </font>
      <fill>
        <patternFill>
          <bgColor rgb="FF66FFFF"/>
        </patternFill>
      </fill>
    </dxf>
    <dxf>
      <font>
        <color rgb="FFFF0000"/>
      </font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/>
        <i val="0"/>
        <color theme="0"/>
      </font>
      <fill>
        <patternFill>
          <bgColor rgb="FFFF99FF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rgb="FF00B05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7030A0"/>
      </font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99FF"/>
        </patternFill>
      </fill>
    </dxf>
    <dxf>
      <font>
        <color theme="1"/>
      </font>
      <fill>
        <patternFill>
          <bgColor rgb="FFFF99FF"/>
        </patternFill>
      </fill>
    </dxf>
    <dxf>
      <font>
        <color rgb="FF00B050"/>
      </font>
      <fill>
        <patternFill>
          <bgColor rgb="FF66FFFF"/>
        </patternFill>
      </fill>
    </dxf>
    <dxf>
      <font>
        <b val="0"/>
        <i/>
        <color auto="1"/>
      </font>
      <fill>
        <patternFill>
          <bgColor rgb="FF66FFFF"/>
        </patternFill>
      </fill>
    </dxf>
    <dxf>
      <font>
        <color rgb="FF7030A0"/>
      </font>
      <fill>
        <patternFill>
          <bgColor rgb="FF66FFFF"/>
        </patternFill>
      </fill>
    </dxf>
    <dxf>
      <font>
        <color rgb="FFFF0000"/>
      </font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/>
        <i val="0"/>
        <color rgb="FF00B05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7030A0"/>
      </font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ont>
        <color rgb="FF00B050"/>
      </font>
      <fill>
        <patternFill>
          <bgColor rgb="FF66FFFF"/>
        </patternFill>
      </fill>
    </dxf>
    <dxf>
      <font>
        <b val="0"/>
        <i/>
        <color auto="1"/>
      </font>
      <fill>
        <patternFill>
          <bgColor rgb="FF66FFFF"/>
        </patternFill>
      </fill>
    </dxf>
    <dxf>
      <font>
        <color rgb="FF7030A0"/>
      </font>
      <fill>
        <patternFill>
          <bgColor rgb="FF66FFFF"/>
        </patternFill>
      </fill>
    </dxf>
    <dxf>
      <font>
        <color rgb="FFFF0000"/>
      </font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66FFFF"/>
        </patternFill>
      </fill>
    </dxf>
    <dxf>
      <font>
        <b/>
        <i val="0"/>
        <color rgb="FF7030A0"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ont>
        <color rgb="FF7030A0"/>
      </font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ont>
        <b val="0"/>
        <i/>
        <color auto="1"/>
      </font>
      <fill>
        <patternFill>
          <bgColor rgb="FF66FFFF"/>
        </patternFill>
      </fill>
    </dxf>
    <dxf>
      <font>
        <color rgb="FF7030A0"/>
      </font>
      <fill>
        <patternFill>
          <bgColor rgb="FF66FFFF"/>
        </patternFill>
      </fill>
    </dxf>
    <dxf>
      <font>
        <color rgb="FFFF0000"/>
      </font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/>
        <i val="0"/>
        <color rgb="FFFF000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rgb="FF00B0F0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ont>
        <b/>
        <i val="0"/>
        <color rgb="FF00B0F0"/>
      </font>
      <fill>
        <patternFill>
          <bgColor rgb="FF99FF99"/>
        </patternFill>
      </fill>
    </dxf>
    <dxf>
      <font>
        <b val="0"/>
        <i/>
      </font>
      <fill>
        <patternFill>
          <bgColor rgb="FF99FF99"/>
        </patternFill>
      </fill>
    </dxf>
    <dxf>
      <font>
        <color theme="3" tint="0.39994506668294322"/>
      </font>
      <fill>
        <patternFill>
          <bgColor rgb="FF99FF99"/>
        </patternFill>
      </fill>
    </dxf>
    <dxf>
      <font>
        <color rgb="FFFF0000"/>
      </font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  <dxf>
      <fill>
        <patternFill>
          <bgColor rgb="FF66FF33"/>
        </patternFill>
      </fill>
    </dxf>
    <dxf>
      <fill>
        <patternFill>
          <bgColor rgb="FFCCFF66"/>
        </patternFill>
      </fill>
    </dxf>
    <dxf>
      <fill>
        <patternFill>
          <bgColor rgb="FF99FF33"/>
        </patternFill>
      </fill>
    </dxf>
    <dxf>
      <fill>
        <patternFill>
          <bgColor rgb="FF99FF99"/>
        </patternFill>
      </fill>
    </dxf>
    <dxf>
      <font>
        <color rgb="FF99FF66"/>
      </font>
      <fill>
        <patternFill>
          <bgColor rgb="FF0070C0"/>
        </patternFill>
      </fill>
    </dxf>
    <dxf>
      <fill>
        <patternFill>
          <bgColor rgb="FFFF66FF"/>
        </patternFill>
      </fill>
    </dxf>
    <dxf>
      <fill>
        <patternFill>
          <bgColor rgb="FF99CCFF"/>
        </patternFill>
      </fill>
    </dxf>
    <dxf>
      <fill>
        <patternFill>
          <bgColor rgb="FFFFCCFF"/>
        </patternFill>
      </fill>
    </dxf>
    <dxf>
      <font>
        <color rgb="FF002060"/>
      </font>
      <fill>
        <patternFill>
          <bgColor rgb="FFFFFFFF"/>
        </patternFill>
      </fill>
    </dxf>
    <dxf>
      <font>
        <color rgb="FFFFCCFF"/>
      </font>
      <fill>
        <patternFill>
          <bgColor theme="3"/>
        </patternFill>
      </fill>
    </dxf>
    <dxf>
      <fill>
        <patternFill>
          <bgColor rgb="FF00FFFF"/>
        </patternFill>
      </fill>
    </dxf>
    <dxf>
      <fill>
        <patternFill>
          <bgColor rgb="FF66FFCC"/>
        </patternFill>
      </fill>
    </dxf>
    <dxf>
      <fill>
        <patternFill>
          <bgColor rgb="FF00FFCC"/>
        </patternFill>
      </fill>
    </dxf>
    <dxf>
      <fill>
        <patternFill>
          <bgColor rgb="FF66FFFF"/>
        </patternFill>
      </fill>
    </dxf>
  </dxfs>
  <tableStyles count="0" defaultTableStyle="TableStyleMedium9" defaultPivotStyle="PivotStyleLight16"/>
  <colors>
    <mruColors>
      <color rgb="FFFF99FF"/>
      <color rgb="FF66FFFF"/>
      <color rgb="FF99FF99"/>
      <color rgb="FFCCFFCC"/>
      <color rgb="FFEAEAEA"/>
      <color rgb="FF00FFCC"/>
      <color rgb="FF66FFCC"/>
      <color rgb="FF00FFFF"/>
      <color rgb="FF66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"/>
  <sheetViews>
    <sheetView workbookViewId="0">
      <selection activeCell="D24" sqref="D24"/>
    </sheetView>
  </sheetViews>
  <sheetFormatPr defaultRowHeight="14.25"/>
  <sheetData>
    <row r="1" spans="1:8">
      <c r="A1" s="109" t="s">
        <v>4195</v>
      </c>
      <c r="B1" s="109" t="s">
        <v>4196</v>
      </c>
      <c r="C1" s="109"/>
      <c r="D1" s="109" t="s">
        <v>4195</v>
      </c>
      <c r="E1" s="109" t="s">
        <v>4196</v>
      </c>
      <c r="F1" s="109"/>
      <c r="G1" s="109" t="s">
        <v>4195</v>
      </c>
      <c r="H1" s="109" t="s">
        <v>4196</v>
      </c>
    </row>
    <row r="2" spans="1:8">
      <c r="A2" t="s">
        <v>4197</v>
      </c>
      <c r="B2" t="s">
        <v>4198</v>
      </c>
      <c r="D2" t="s">
        <v>4199</v>
      </c>
      <c r="E2" t="s">
        <v>4200</v>
      </c>
      <c r="G2" t="s">
        <v>4201</v>
      </c>
      <c r="H2" t="s">
        <v>4202</v>
      </c>
    </row>
    <row r="3" spans="1:8">
      <c r="A3" t="s">
        <v>433</v>
      </c>
      <c r="B3" t="s">
        <v>4203</v>
      </c>
      <c r="D3" t="s">
        <v>440</v>
      </c>
      <c r="E3" t="s">
        <v>4204</v>
      </c>
      <c r="G3" t="s">
        <v>4205</v>
      </c>
      <c r="H3" t="s">
        <v>4206</v>
      </c>
    </row>
    <row r="4" spans="1:8">
      <c r="A4" t="s">
        <v>4207</v>
      </c>
      <c r="B4" t="s">
        <v>4208</v>
      </c>
      <c r="D4" t="s">
        <v>4209</v>
      </c>
      <c r="E4" t="s">
        <v>4210</v>
      </c>
      <c r="G4" t="s">
        <v>4211</v>
      </c>
      <c r="H4" t="s">
        <v>4212</v>
      </c>
    </row>
    <row r="5" spans="1:8">
      <c r="A5" t="s">
        <v>4213</v>
      </c>
      <c r="B5" t="s">
        <v>4214</v>
      </c>
      <c r="D5" t="s">
        <v>4215</v>
      </c>
      <c r="E5" t="s">
        <v>4216</v>
      </c>
    </row>
    <row r="6" spans="1:8">
      <c r="A6" t="s">
        <v>4217</v>
      </c>
      <c r="B6" t="s">
        <v>4218</v>
      </c>
      <c r="D6" t="s">
        <v>447</v>
      </c>
      <c r="E6" t="s">
        <v>4219</v>
      </c>
    </row>
    <row r="7" spans="1:8">
      <c r="A7" t="s">
        <v>4220</v>
      </c>
      <c r="B7" t="s">
        <v>4221</v>
      </c>
      <c r="D7" t="s">
        <v>4222</v>
      </c>
      <c r="E7" t="s">
        <v>56</v>
      </c>
    </row>
    <row r="8" spans="1:8">
      <c r="A8" t="s">
        <v>4223</v>
      </c>
      <c r="B8" t="s">
        <v>4224</v>
      </c>
      <c r="D8" t="s">
        <v>449</v>
      </c>
      <c r="E8" t="s">
        <v>4225</v>
      </c>
    </row>
    <row r="9" spans="1:8">
      <c r="A9" t="s">
        <v>4226</v>
      </c>
      <c r="B9" t="s">
        <v>4227</v>
      </c>
      <c r="D9" t="s">
        <v>575</v>
      </c>
      <c r="E9" t="s">
        <v>4228</v>
      </c>
    </row>
    <row r="10" spans="1:8">
      <c r="A10" t="s">
        <v>4229</v>
      </c>
      <c r="B10" t="s">
        <v>4230</v>
      </c>
      <c r="D10" t="s">
        <v>4231</v>
      </c>
      <c r="E10" t="s">
        <v>4232</v>
      </c>
    </row>
    <row r="11" spans="1:8">
      <c r="A11" t="s">
        <v>445</v>
      </c>
      <c r="B11" t="s">
        <v>4233</v>
      </c>
      <c r="D11" t="s">
        <v>4234</v>
      </c>
      <c r="E11" t="s">
        <v>4235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9"/>
  <sheetViews>
    <sheetView workbookViewId="0">
      <selection activeCell="B5" sqref="B5"/>
    </sheetView>
  </sheetViews>
  <sheetFormatPr defaultRowHeight="15.75"/>
  <cols>
    <col min="1" max="1" width="16" style="70" customWidth="1"/>
    <col min="2" max="3" width="13.375" style="71" customWidth="1"/>
    <col min="4" max="4" width="17.25" style="70" customWidth="1"/>
    <col min="5" max="5" width="13.375" style="71" customWidth="1"/>
    <col min="6" max="6" width="13.375" style="70" customWidth="1"/>
    <col min="7" max="16384" width="9" style="70"/>
  </cols>
  <sheetData>
    <row r="1" spans="1:8" ht="16.5" thickBot="1">
      <c r="A1" s="124" t="s">
        <v>4194</v>
      </c>
      <c r="B1" s="125"/>
      <c r="C1" s="125"/>
      <c r="D1" s="125"/>
      <c r="E1" s="125"/>
      <c r="F1" s="126"/>
      <c r="G1" s="108"/>
      <c r="H1" s="108"/>
    </row>
    <row r="2" spans="1:8">
      <c r="A2" s="107" t="s">
        <v>4193</v>
      </c>
      <c r="B2" s="106">
        <v>72</v>
      </c>
      <c r="C2" s="105"/>
      <c r="D2" s="104"/>
      <c r="E2" s="104"/>
      <c r="F2" s="103"/>
    </row>
    <row r="3" spans="1:8" ht="16.5">
      <c r="A3" s="100" t="s">
        <v>4192</v>
      </c>
      <c r="B3" s="99">
        <v>2</v>
      </c>
      <c r="C3" s="127" t="s">
        <v>4191</v>
      </c>
      <c r="D3" s="128"/>
      <c r="E3" s="90"/>
      <c r="F3" s="95"/>
    </row>
    <row r="4" spans="1:8" ht="16.5">
      <c r="A4" s="94"/>
      <c r="B4" s="102"/>
      <c r="C4" s="90"/>
      <c r="D4" s="101"/>
      <c r="E4" s="90"/>
      <c r="F4" s="95"/>
    </row>
    <row r="5" spans="1:8">
      <c r="A5" s="100" t="s">
        <v>4190</v>
      </c>
      <c r="B5" s="99">
        <v>311</v>
      </c>
      <c r="C5" s="98"/>
      <c r="D5" s="90"/>
      <c r="E5" s="90"/>
      <c r="F5" s="95"/>
    </row>
    <row r="6" spans="1:8">
      <c r="A6" s="97"/>
      <c r="B6" s="96"/>
      <c r="C6" s="90"/>
      <c r="D6" s="90"/>
      <c r="E6" s="90"/>
      <c r="F6" s="95"/>
    </row>
    <row r="7" spans="1:8">
      <c r="A7" s="94" t="s">
        <v>4189</v>
      </c>
      <c r="B7" s="129" t="s">
        <v>4188</v>
      </c>
      <c r="C7" s="129"/>
      <c r="D7" s="91"/>
      <c r="E7" s="130" t="s">
        <v>4187</v>
      </c>
      <c r="F7" s="131"/>
    </row>
    <row r="8" spans="1:8">
      <c r="A8" s="94"/>
      <c r="B8" s="93" t="s">
        <v>4186</v>
      </c>
      <c r="C8" s="92" t="s">
        <v>4185</v>
      </c>
      <c r="D8" s="91"/>
      <c r="E8" s="85" t="s">
        <v>4184</v>
      </c>
      <c r="F8" s="84" t="str">
        <f>IF(AND(0&lt;$B$2,$B$2&lt;11),2000+($B$2*1000),"*")</f>
        <v>*</v>
      </c>
    </row>
    <row r="9" spans="1:8">
      <c r="A9" s="89" t="s">
        <v>4183</v>
      </c>
      <c r="B9" s="88">
        <f>($B$2/1.3)+($B$3/1.3)+28</f>
        <v>84.92307692307692</v>
      </c>
      <c r="C9" s="87"/>
      <c r="D9" s="90" t="s">
        <v>4182</v>
      </c>
      <c r="E9" s="85" t="s">
        <v>4181</v>
      </c>
      <c r="F9" s="84" t="str">
        <f>IF(AND(10&lt;$B$2,$B$2&lt;21),2000+($B$2*1000),"*")</f>
        <v>*</v>
      </c>
    </row>
    <row r="10" spans="1:8">
      <c r="A10" s="89" t="s">
        <v>4180</v>
      </c>
      <c r="B10" s="88">
        <f>($B$2/1.5)+($B$3/1.5)+22</f>
        <v>71.333333333333343</v>
      </c>
      <c r="C10" s="87"/>
      <c r="D10" s="90" t="s">
        <v>4179</v>
      </c>
      <c r="E10" s="85" t="s">
        <v>4178</v>
      </c>
      <c r="F10" s="84" t="str">
        <f>IF(AND(20&lt;$B$2,$B$2&lt;31),2000+($B$2*1500),"*")</f>
        <v>*</v>
      </c>
    </row>
    <row r="11" spans="1:8">
      <c r="A11" s="89" t="s">
        <v>4177</v>
      </c>
      <c r="B11" s="88">
        <f>($B$2/2)+($B$3/2)+16</f>
        <v>53</v>
      </c>
      <c r="C11" s="87">
        <f>($B$2/20)+($B$3/20)+54</f>
        <v>57.7</v>
      </c>
      <c r="D11" s="90" t="s">
        <v>4176</v>
      </c>
      <c r="E11" s="85" t="s">
        <v>4175</v>
      </c>
      <c r="F11" s="84" t="str">
        <f>IF(AND(30&lt;$B$2,$B$2&lt;41),2000+($B$2*2000),"*")</f>
        <v>*</v>
      </c>
    </row>
    <row r="12" spans="1:8">
      <c r="A12" s="89" t="s">
        <v>4174</v>
      </c>
      <c r="B12" s="88">
        <f>($B$2/3)+($B$3/3)+14</f>
        <v>38.666666666666671</v>
      </c>
      <c r="C12" s="87">
        <f>($B$2/20)+($B$3/20)+41</f>
        <v>44.7</v>
      </c>
      <c r="D12" s="90" t="s">
        <v>4173</v>
      </c>
      <c r="E12" s="85" t="s">
        <v>4172</v>
      </c>
      <c r="F12" s="84" t="str">
        <f>IF(AND(40&lt;$B$2,$B$2&lt;51),2000+($B$2*2500),"*")</f>
        <v>*</v>
      </c>
    </row>
    <row r="13" spans="1:8">
      <c r="A13" s="89" t="s">
        <v>4171</v>
      </c>
      <c r="B13" s="88">
        <f>($B$2/4)+($B$3/4)+12</f>
        <v>30.5</v>
      </c>
      <c r="C13" s="87">
        <f>($B$2/20)+($B$3/20)+28</f>
        <v>31.7</v>
      </c>
      <c r="D13" s="90" t="s">
        <v>4170</v>
      </c>
      <c r="E13" s="85" t="s">
        <v>4169</v>
      </c>
      <c r="F13" s="84" t="str">
        <f>IF(AND(50&lt;$B$2,$B$2&lt;61),2000+($B$2*3000),"*")</f>
        <v>*</v>
      </c>
    </row>
    <row r="14" spans="1:8">
      <c r="A14" s="89" t="s">
        <v>4168</v>
      </c>
      <c r="B14" s="88">
        <f>($B$2/5)+($B$3/5)+10</f>
        <v>24.8</v>
      </c>
      <c r="C14" s="87">
        <f>($B$2/20)+($B$3/20)+20</f>
        <v>23.7</v>
      </c>
      <c r="D14" s="90" t="s">
        <v>4167</v>
      </c>
      <c r="E14" s="85" t="s">
        <v>4166</v>
      </c>
      <c r="F14" s="84" t="str">
        <f>IF(AND(60&lt;$B$2,$B$2&lt;71),2000+($B$2*3500),"*")</f>
        <v>*</v>
      </c>
    </row>
    <row r="15" spans="1:8">
      <c r="A15" s="89" t="s">
        <v>4165</v>
      </c>
      <c r="B15" s="88">
        <f>($B$2/6)+($B$3/6)+8</f>
        <v>20.333333333333336</v>
      </c>
      <c r="C15" s="87">
        <f>($B$2/20)+($B$3/20)+16</f>
        <v>19.7</v>
      </c>
      <c r="D15" s="90"/>
      <c r="E15" s="85" t="s">
        <v>4164</v>
      </c>
      <c r="F15" s="84">
        <f>IF(AND(70&lt;$B$2,$B$2&lt;81),2000+($B$2*4000),"*")</f>
        <v>290000</v>
      </c>
    </row>
    <row r="16" spans="1:8">
      <c r="A16" s="89" t="s">
        <v>4163</v>
      </c>
      <c r="B16" s="88">
        <f>($B$2/8)+($B$3/8)+6</f>
        <v>15.25</v>
      </c>
      <c r="C16" s="87">
        <f>($B$2/20)+($B$3/20)+12</f>
        <v>15.7</v>
      </c>
      <c r="D16" s="90"/>
      <c r="E16" s="85" t="s">
        <v>4162</v>
      </c>
      <c r="F16" s="84" t="str">
        <f>IF(AND(80&lt;$B$2,$B$2&lt;91),2000+($B$2*4500),"*")</f>
        <v>*</v>
      </c>
    </row>
    <row r="17" spans="1:6">
      <c r="A17" s="89" t="s">
        <v>4161</v>
      </c>
      <c r="B17" s="88">
        <f>($B$2/10)+($B$3/10)+4</f>
        <v>11.4</v>
      </c>
      <c r="C17" s="87">
        <f>($B$2/20)+($B$3/20)+8</f>
        <v>11.7</v>
      </c>
      <c r="D17" s="86"/>
      <c r="E17" s="85" t="s">
        <v>4160</v>
      </c>
      <c r="F17" s="84" t="str">
        <f>IF(AND(90&lt;$B$2,$B$2&lt;101),2000+($B$2*5000),"*")</f>
        <v>*</v>
      </c>
    </row>
    <row r="18" spans="1:6" ht="16.5" thickBot="1">
      <c r="A18" s="83" t="s">
        <v>4159</v>
      </c>
      <c r="B18" s="82">
        <f>$B$3/20+2</f>
        <v>2.1</v>
      </c>
      <c r="C18" s="81"/>
      <c r="D18" s="80"/>
      <c r="E18" s="79"/>
      <c r="F18" s="78"/>
    </row>
    <row r="19" spans="1:6" ht="16.5" thickBot="1">
      <c r="A19" s="77" t="s">
        <v>4158</v>
      </c>
      <c r="B19" s="76">
        <f>($B$3+$B$5)/20+2</f>
        <v>17.649999999999999</v>
      </c>
      <c r="C19" s="75"/>
      <c r="D19" s="74"/>
      <c r="E19" s="73" t="s">
        <v>4157</v>
      </c>
      <c r="F19" s="72">
        <v>5000</v>
      </c>
    </row>
  </sheetData>
  <sheetProtection sheet="1" objects="1" scenarios="1" selectLockedCells="1"/>
  <protectedRanges>
    <protectedRange sqref="A2:A4 A5:C19 C2:E4 E19 D5:E18 F7:F19" name="範圍1"/>
  </protectedRanges>
  <mergeCells count="4">
    <mergeCell ref="A1:F1"/>
    <mergeCell ref="C3:D3"/>
    <mergeCell ref="B7:C7"/>
    <mergeCell ref="E7:F7"/>
  </mergeCells>
  <phoneticPr fontId="2" type="noConversion"/>
  <pageMargins left="0.75" right="0.75" top="1" bottom="1" header="0.5" footer="0.5"/>
  <pageSetup paperSize="9" firstPageNumber="429496319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1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04" sqref="D104"/>
    </sheetView>
  </sheetViews>
  <sheetFormatPr defaultColWidth="8.25" defaultRowHeight="14.25"/>
  <cols>
    <col min="1" max="1" width="7.625" style="18" customWidth="1"/>
    <col min="2" max="2" width="8.5" style="18" bestFit="1" customWidth="1"/>
    <col min="3" max="17" width="5.5" style="18" bestFit="1" customWidth="1"/>
    <col min="18" max="20" width="6.375" style="18" bestFit="1" customWidth="1"/>
    <col min="21" max="16384" width="8.25" style="18"/>
  </cols>
  <sheetData>
    <row r="1" spans="1:20" ht="33">
      <c r="A1" s="134" t="s">
        <v>45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</row>
    <row r="2" spans="1:20" ht="28.5">
      <c r="A2" s="12" t="s">
        <v>502</v>
      </c>
      <c r="B2" s="10" t="s">
        <v>503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 t="s">
        <v>57</v>
      </c>
      <c r="O2" s="11" t="s">
        <v>58</v>
      </c>
      <c r="P2" s="11" t="s">
        <v>870</v>
      </c>
      <c r="Q2" s="11" t="s">
        <v>886</v>
      </c>
      <c r="R2" s="11" t="s">
        <v>2248</v>
      </c>
      <c r="S2" s="11" t="s">
        <v>2249</v>
      </c>
      <c r="T2" s="11" t="s">
        <v>2250</v>
      </c>
    </row>
    <row r="3" spans="1:20">
      <c r="A3" s="133" t="s">
        <v>504</v>
      </c>
      <c r="B3" s="4" t="s">
        <v>99</v>
      </c>
      <c r="C3" s="3">
        <v>3</v>
      </c>
      <c r="D3" s="3" t="s">
        <v>475</v>
      </c>
      <c r="E3" s="3"/>
      <c r="F3" s="3"/>
      <c r="G3" s="3"/>
      <c r="H3" s="3" t="s">
        <v>62</v>
      </c>
      <c r="I3" s="3" t="s">
        <v>66</v>
      </c>
      <c r="J3" s="3" t="s">
        <v>63</v>
      </c>
      <c r="K3" s="3"/>
      <c r="L3" s="3" t="s">
        <v>69</v>
      </c>
      <c r="M3" s="3"/>
      <c r="N3" s="3"/>
      <c r="O3" s="4" t="s">
        <v>58</v>
      </c>
      <c r="P3" s="3"/>
      <c r="Q3" s="4" t="s">
        <v>60</v>
      </c>
      <c r="R3" s="37"/>
      <c r="S3" s="37"/>
      <c r="T3" s="37"/>
    </row>
    <row r="4" spans="1:20">
      <c r="A4" s="133"/>
      <c r="B4" s="4" t="s">
        <v>860</v>
      </c>
      <c r="C4" s="3">
        <v>3</v>
      </c>
      <c r="D4" s="3" t="s">
        <v>475</v>
      </c>
      <c r="E4" s="3"/>
      <c r="F4" s="3"/>
      <c r="G4" s="3" t="s">
        <v>61</v>
      </c>
      <c r="H4" s="3"/>
      <c r="I4" s="3" t="s">
        <v>66</v>
      </c>
      <c r="J4" s="3"/>
      <c r="K4" s="3"/>
      <c r="L4" s="3" t="s">
        <v>69</v>
      </c>
      <c r="M4" s="4" t="s">
        <v>56</v>
      </c>
      <c r="N4" s="3"/>
      <c r="O4" s="3"/>
      <c r="P4" s="4" t="s">
        <v>59</v>
      </c>
      <c r="Q4" s="4" t="s">
        <v>60</v>
      </c>
      <c r="R4" s="37"/>
      <c r="S4" s="37"/>
      <c r="T4" s="37"/>
    </row>
    <row r="5" spans="1:20">
      <c r="A5" s="133"/>
      <c r="B5" s="4" t="s">
        <v>861</v>
      </c>
      <c r="C5" s="3">
        <v>3</v>
      </c>
      <c r="D5" s="3" t="s">
        <v>478</v>
      </c>
      <c r="E5" s="3"/>
      <c r="F5" s="3"/>
      <c r="G5" s="3" t="s">
        <v>61</v>
      </c>
      <c r="H5" s="3"/>
      <c r="I5" s="3" t="s">
        <v>66</v>
      </c>
      <c r="J5" s="3" t="s">
        <v>63</v>
      </c>
      <c r="K5" s="3"/>
      <c r="L5" s="3" t="s">
        <v>69</v>
      </c>
      <c r="M5" s="4" t="s">
        <v>56</v>
      </c>
      <c r="N5" s="3"/>
      <c r="O5" s="3"/>
      <c r="P5" s="3"/>
      <c r="Q5" s="4" t="s">
        <v>60</v>
      </c>
      <c r="R5" s="37"/>
      <c r="S5" s="37"/>
      <c r="T5" s="37"/>
    </row>
    <row r="6" spans="1:20">
      <c r="A6" s="133"/>
      <c r="B6" s="4" t="s">
        <v>881</v>
      </c>
      <c r="C6" s="3">
        <v>3</v>
      </c>
      <c r="D6" s="3" t="s">
        <v>478</v>
      </c>
      <c r="E6" s="3"/>
      <c r="F6" s="3"/>
      <c r="G6" s="3" t="s">
        <v>61</v>
      </c>
      <c r="H6" s="3"/>
      <c r="I6" s="3" t="s">
        <v>66</v>
      </c>
      <c r="J6" s="3" t="s">
        <v>63</v>
      </c>
      <c r="K6" s="3"/>
      <c r="L6" s="3" t="s">
        <v>69</v>
      </c>
      <c r="M6" s="3"/>
      <c r="N6" s="3"/>
      <c r="O6" s="3"/>
      <c r="P6" s="4" t="s">
        <v>59</v>
      </c>
      <c r="Q6" s="4" t="s">
        <v>60</v>
      </c>
      <c r="R6" s="37"/>
      <c r="S6" s="37"/>
      <c r="T6" s="37"/>
    </row>
    <row r="7" spans="1:20">
      <c r="A7" s="133"/>
      <c r="B7" s="4" t="s">
        <v>862</v>
      </c>
      <c r="C7" s="3">
        <v>3</v>
      </c>
      <c r="D7" s="3" t="s">
        <v>478</v>
      </c>
      <c r="E7" s="3"/>
      <c r="F7" s="3"/>
      <c r="G7" s="3" t="s">
        <v>61</v>
      </c>
      <c r="H7" s="3"/>
      <c r="I7" s="3" t="s">
        <v>66</v>
      </c>
      <c r="J7" s="3" t="s">
        <v>63</v>
      </c>
      <c r="K7" s="3"/>
      <c r="L7" s="3"/>
      <c r="M7" s="3"/>
      <c r="N7" s="3"/>
      <c r="O7" s="4" t="s">
        <v>58</v>
      </c>
      <c r="P7" s="3"/>
      <c r="Q7" s="4" t="s">
        <v>60</v>
      </c>
      <c r="R7" s="37"/>
      <c r="S7" s="37"/>
      <c r="T7" s="37"/>
    </row>
    <row r="8" spans="1:20">
      <c r="A8" s="133"/>
      <c r="B8" s="4" t="s">
        <v>496</v>
      </c>
      <c r="C8" s="3">
        <v>2</v>
      </c>
      <c r="D8" s="3" t="s">
        <v>474</v>
      </c>
      <c r="E8" s="3"/>
      <c r="F8" s="3"/>
      <c r="G8" s="3"/>
      <c r="H8" s="3" t="s">
        <v>62</v>
      </c>
      <c r="I8" s="3" t="s">
        <v>66</v>
      </c>
      <c r="J8" s="3"/>
      <c r="K8" s="3" t="s">
        <v>67</v>
      </c>
      <c r="L8" s="3"/>
      <c r="M8" s="3"/>
      <c r="N8" s="4" t="s">
        <v>57</v>
      </c>
      <c r="O8" s="4" t="s">
        <v>58</v>
      </c>
      <c r="P8" s="4"/>
      <c r="Q8" s="4" t="s">
        <v>60</v>
      </c>
      <c r="R8" s="37"/>
      <c r="S8" s="37"/>
      <c r="T8" s="37"/>
    </row>
    <row r="9" spans="1:20">
      <c r="A9" s="133"/>
      <c r="B9" s="4" t="s">
        <v>488</v>
      </c>
      <c r="C9" s="3">
        <v>3</v>
      </c>
      <c r="D9" s="3" t="s">
        <v>478</v>
      </c>
      <c r="E9" s="3"/>
      <c r="F9" s="3"/>
      <c r="G9" s="3" t="s">
        <v>61</v>
      </c>
      <c r="H9" s="3"/>
      <c r="I9" s="3" t="s">
        <v>66</v>
      </c>
      <c r="J9" s="3" t="s">
        <v>63</v>
      </c>
      <c r="K9" s="3"/>
      <c r="L9" s="3"/>
      <c r="M9" s="4" t="s">
        <v>56</v>
      </c>
      <c r="N9" s="3"/>
      <c r="O9" s="4" t="s">
        <v>58</v>
      </c>
      <c r="P9" s="3"/>
      <c r="Q9" s="4" t="s">
        <v>60</v>
      </c>
      <c r="R9" s="37"/>
      <c r="S9" s="37"/>
      <c r="T9" s="37"/>
    </row>
    <row r="10" spans="1:20">
      <c r="A10" s="133"/>
      <c r="B10" s="4" t="s">
        <v>100</v>
      </c>
      <c r="C10" s="3">
        <v>3</v>
      </c>
      <c r="D10" s="3" t="s">
        <v>478</v>
      </c>
      <c r="E10" s="3"/>
      <c r="F10" s="3"/>
      <c r="G10" s="3" t="s">
        <v>61</v>
      </c>
      <c r="H10" s="3"/>
      <c r="I10" s="3" t="s">
        <v>66</v>
      </c>
      <c r="J10" s="3" t="s">
        <v>63</v>
      </c>
      <c r="K10" s="3" t="s">
        <v>67</v>
      </c>
      <c r="L10" s="3"/>
      <c r="M10" s="3"/>
      <c r="N10" s="3"/>
      <c r="O10" s="3"/>
      <c r="P10" s="3"/>
      <c r="Q10" s="4" t="s">
        <v>60</v>
      </c>
      <c r="R10" s="37"/>
      <c r="S10" s="37"/>
      <c r="T10" s="37"/>
    </row>
    <row r="11" spans="1:20">
      <c r="A11" s="133"/>
      <c r="B11" s="4" t="s">
        <v>76</v>
      </c>
      <c r="C11" s="3">
        <v>4</v>
      </c>
      <c r="D11" s="3" t="s">
        <v>478</v>
      </c>
      <c r="E11" s="3"/>
      <c r="F11" s="3"/>
      <c r="G11" s="3" t="s">
        <v>61</v>
      </c>
      <c r="H11" s="3"/>
      <c r="I11" s="3" t="s">
        <v>66</v>
      </c>
      <c r="J11" s="3" t="s">
        <v>63</v>
      </c>
      <c r="K11" s="3"/>
      <c r="L11" s="3"/>
      <c r="M11" s="3"/>
      <c r="N11" s="4" t="s">
        <v>57</v>
      </c>
      <c r="O11" s="3"/>
      <c r="P11" s="4" t="s">
        <v>59</v>
      </c>
      <c r="Q11" s="4" t="s">
        <v>60</v>
      </c>
      <c r="R11" s="37"/>
      <c r="S11" s="37"/>
      <c r="T11" s="37"/>
    </row>
    <row r="12" spans="1:20">
      <c r="A12" s="133"/>
      <c r="B12" s="4" t="s">
        <v>83</v>
      </c>
      <c r="C12" s="3">
        <v>3</v>
      </c>
      <c r="D12" s="3" t="s">
        <v>472</v>
      </c>
      <c r="E12" s="3"/>
      <c r="F12" s="3"/>
      <c r="G12" s="3"/>
      <c r="H12" s="3"/>
      <c r="I12" s="3" t="s">
        <v>66</v>
      </c>
      <c r="J12" s="3" t="s">
        <v>63</v>
      </c>
      <c r="K12" s="3" t="s">
        <v>67</v>
      </c>
      <c r="L12" s="3"/>
      <c r="M12" s="4" t="s">
        <v>56</v>
      </c>
      <c r="N12" s="4" t="s">
        <v>57</v>
      </c>
      <c r="O12" s="3"/>
      <c r="P12" s="3"/>
      <c r="Q12" s="4" t="s">
        <v>60</v>
      </c>
      <c r="R12" s="37"/>
      <c r="S12" s="37"/>
      <c r="T12" s="37"/>
    </row>
    <row r="13" spans="1:20">
      <c r="A13" s="133"/>
      <c r="B13" s="4" t="s">
        <v>3902</v>
      </c>
      <c r="C13" s="3">
        <v>2</v>
      </c>
      <c r="D13" s="3" t="s">
        <v>94</v>
      </c>
      <c r="E13" s="3"/>
      <c r="F13" s="3" t="s">
        <v>65</v>
      </c>
      <c r="G13" s="3"/>
      <c r="H13" s="3" t="s">
        <v>62</v>
      </c>
      <c r="I13" s="3" t="s">
        <v>66</v>
      </c>
      <c r="J13" s="3" t="s">
        <v>63</v>
      </c>
      <c r="K13" s="3"/>
      <c r="L13" s="3"/>
      <c r="M13" s="3"/>
      <c r="N13" s="3"/>
      <c r="O13" s="3"/>
      <c r="P13" s="3"/>
      <c r="Q13" s="4" t="s">
        <v>60</v>
      </c>
      <c r="R13" s="37"/>
      <c r="S13" s="37"/>
      <c r="T13" s="37"/>
    </row>
    <row r="14" spans="1:20">
      <c r="A14" s="133"/>
      <c r="B14" s="4" t="s">
        <v>492</v>
      </c>
      <c r="C14" s="3">
        <v>2</v>
      </c>
      <c r="D14" s="3" t="s">
        <v>94</v>
      </c>
      <c r="E14" s="3"/>
      <c r="F14" s="3" t="s">
        <v>65</v>
      </c>
      <c r="G14" s="3"/>
      <c r="H14" s="3" t="s">
        <v>62</v>
      </c>
      <c r="I14" s="3" t="s">
        <v>66</v>
      </c>
      <c r="J14" s="3" t="s">
        <v>63</v>
      </c>
      <c r="K14" s="3"/>
      <c r="L14" s="3" t="s">
        <v>69</v>
      </c>
      <c r="M14" s="3"/>
      <c r="N14" s="3"/>
      <c r="O14" s="3"/>
      <c r="P14" s="3"/>
      <c r="Q14" s="4" t="s">
        <v>60</v>
      </c>
      <c r="R14" s="37"/>
      <c r="S14" s="37"/>
      <c r="T14" s="37"/>
    </row>
    <row r="15" spans="1:20">
      <c r="A15" s="133"/>
      <c r="B15" s="4" t="s">
        <v>86</v>
      </c>
      <c r="C15" s="3">
        <v>4</v>
      </c>
      <c r="D15" s="3" t="s">
        <v>475</v>
      </c>
      <c r="E15" s="3"/>
      <c r="F15" s="3"/>
      <c r="G15" s="3" t="s">
        <v>61</v>
      </c>
      <c r="H15" s="3"/>
      <c r="I15" s="3" t="s">
        <v>66</v>
      </c>
      <c r="J15" s="3" t="s">
        <v>63</v>
      </c>
      <c r="K15" s="3"/>
      <c r="L15" s="3"/>
      <c r="M15" s="4" t="s">
        <v>56</v>
      </c>
      <c r="N15" s="3"/>
      <c r="O15" s="4" t="s">
        <v>58</v>
      </c>
      <c r="P15" s="3"/>
      <c r="Q15" s="4" t="s">
        <v>60</v>
      </c>
      <c r="R15" s="37"/>
      <c r="S15" s="37"/>
      <c r="T15" s="37"/>
    </row>
    <row r="16" spans="1:20">
      <c r="A16" s="133"/>
      <c r="B16" s="4" t="s">
        <v>3893</v>
      </c>
      <c r="C16" s="3">
        <v>4</v>
      </c>
      <c r="D16" s="3" t="s">
        <v>472</v>
      </c>
      <c r="E16" s="3"/>
      <c r="F16" s="3"/>
      <c r="G16" s="3" t="s">
        <v>61</v>
      </c>
      <c r="H16" s="3"/>
      <c r="I16" s="3" t="s">
        <v>66</v>
      </c>
      <c r="J16" s="3"/>
      <c r="K16" s="3"/>
      <c r="L16" s="3"/>
      <c r="M16" s="4" t="s">
        <v>56</v>
      </c>
      <c r="N16" s="3"/>
      <c r="O16" s="4" t="s">
        <v>58</v>
      </c>
      <c r="P16" s="4" t="s">
        <v>59</v>
      </c>
      <c r="Q16" s="4" t="s">
        <v>60</v>
      </c>
      <c r="R16" s="37"/>
      <c r="S16" s="37"/>
      <c r="T16" s="37"/>
    </row>
    <row r="17" spans="1:20">
      <c r="A17" s="133"/>
      <c r="B17" s="4" t="s">
        <v>487</v>
      </c>
      <c r="C17" s="3">
        <v>2</v>
      </c>
      <c r="D17" s="3" t="s">
        <v>474</v>
      </c>
      <c r="E17" s="3" t="s">
        <v>64</v>
      </c>
      <c r="F17" s="3" t="s">
        <v>65</v>
      </c>
      <c r="G17" s="3"/>
      <c r="H17" s="3" t="s">
        <v>62</v>
      </c>
      <c r="I17" s="3" t="s">
        <v>66</v>
      </c>
      <c r="J17" s="3"/>
      <c r="K17" s="3"/>
      <c r="L17" s="3"/>
      <c r="M17" s="3"/>
      <c r="N17" s="4" t="s">
        <v>57</v>
      </c>
      <c r="O17" s="4" t="s">
        <v>58</v>
      </c>
      <c r="P17" s="3"/>
      <c r="Q17" s="3"/>
      <c r="R17" s="37"/>
      <c r="S17" s="37"/>
      <c r="T17" s="37"/>
    </row>
    <row r="18" spans="1:20">
      <c r="A18" s="133"/>
      <c r="B18" s="4" t="s">
        <v>863</v>
      </c>
      <c r="C18" s="3">
        <v>3</v>
      </c>
      <c r="D18" s="3" t="s">
        <v>475</v>
      </c>
      <c r="E18" s="3" t="s">
        <v>64</v>
      </c>
      <c r="F18" s="3"/>
      <c r="G18" s="3" t="s">
        <v>61</v>
      </c>
      <c r="H18" s="3"/>
      <c r="I18" s="3" t="s">
        <v>66</v>
      </c>
      <c r="J18" s="3"/>
      <c r="K18" s="3" t="s">
        <v>67</v>
      </c>
      <c r="L18" s="3"/>
      <c r="M18" s="4" t="s">
        <v>56</v>
      </c>
      <c r="N18" s="4" t="s">
        <v>57</v>
      </c>
      <c r="O18" s="3"/>
      <c r="P18" s="3"/>
      <c r="Q18" s="3"/>
      <c r="R18" s="37"/>
      <c r="S18" s="37"/>
      <c r="T18" s="37"/>
    </row>
    <row r="19" spans="1:20">
      <c r="A19" s="133"/>
      <c r="B19" s="4" t="s">
        <v>495</v>
      </c>
      <c r="C19" s="3">
        <v>2</v>
      </c>
      <c r="D19" s="3" t="s">
        <v>474</v>
      </c>
      <c r="E19" s="3" t="s">
        <v>64</v>
      </c>
      <c r="F19" s="3" t="s">
        <v>65</v>
      </c>
      <c r="G19" s="3"/>
      <c r="H19" s="3" t="s">
        <v>62</v>
      </c>
      <c r="I19" s="3" t="s">
        <v>66</v>
      </c>
      <c r="J19" s="3"/>
      <c r="K19" s="3" t="s">
        <v>67</v>
      </c>
      <c r="L19" s="3"/>
      <c r="M19" s="3"/>
      <c r="N19" s="3"/>
      <c r="O19" s="3"/>
      <c r="P19" s="4" t="s">
        <v>59</v>
      </c>
      <c r="Q19" s="3"/>
      <c r="R19" s="37"/>
      <c r="S19" s="37"/>
      <c r="T19" s="37"/>
    </row>
    <row r="20" spans="1:20">
      <c r="A20" s="133"/>
      <c r="B20" s="4" t="s">
        <v>864</v>
      </c>
      <c r="C20" s="3">
        <v>3</v>
      </c>
      <c r="D20" s="3" t="s">
        <v>478</v>
      </c>
      <c r="E20" s="3"/>
      <c r="F20" s="3"/>
      <c r="G20" s="3" t="s">
        <v>61</v>
      </c>
      <c r="H20" s="3"/>
      <c r="I20" s="3" t="s">
        <v>66</v>
      </c>
      <c r="J20" s="3" t="s">
        <v>63</v>
      </c>
      <c r="K20" s="3"/>
      <c r="L20" s="3" t="s">
        <v>69</v>
      </c>
      <c r="M20" s="3"/>
      <c r="N20" s="4" t="s">
        <v>57</v>
      </c>
      <c r="O20" s="3"/>
      <c r="P20" s="4" t="s">
        <v>59</v>
      </c>
      <c r="Q20" s="3"/>
      <c r="R20" s="37"/>
      <c r="S20" s="37"/>
      <c r="T20" s="37"/>
    </row>
    <row r="21" spans="1:20">
      <c r="A21" s="133"/>
      <c r="B21" s="4" t="s">
        <v>491</v>
      </c>
      <c r="C21" s="3">
        <v>3</v>
      </c>
      <c r="D21" s="3" t="s">
        <v>475</v>
      </c>
      <c r="E21" s="3" t="s">
        <v>64</v>
      </c>
      <c r="F21" s="3"/>
      <c r="G21" s="3" t="s">
        <v>61</v>
      </c>
      <c r="H21" s="3"/>
      <c r="I21" s="3" t="s">
        <v>66</v>
      </c>
      <c r="J21" s="3"/>
      <c r="K21" s="3" t="s">
        <v>67</v>
      </c>
      <c r="L21" s="3"/>
      <c r="M21" s="4" t="s">
        <v>56</v>
      </c>
      <c r="N21" s="3"/>
      <c r="O21" s="4" t="s">
        <v>58</v>
      </c>
      <c r="P21" s="3"/>
      <c r="Q21" s="3"/>
      <c r="R21" s="37"/>
      <c r="S21" s="37"/>
      <c r="T21" s="37"/>
    </row>
    <row r="22" spans="1:20">
      <c r="A22" s="133"/>
      <c r="B22" s="4" t="s">
        <v>865</v>
      </c>
      <c r="C22" s="3">
        <v>3</v>
      </c>
      <c r="D22" s="3" t="s">
        <v>472</v>
      </c>
      <c r="E22" s="3" t="s">
        <v>64</v>
      </c>
      <c r="F22" s="3" t="s">
        <v>65</v>
      </c>
      <c r="G22" s="3" t="s">
        <v>61</v>
      </c>
      <c r="H22" s="3"/>
      <c r="I22" s="3" t="s">
        <v>66</v>
      </c>
      <c r="J22" s="3"/>
      <c r="K22" s="3" t="s">
        <v>67</v>
      </c>
      <c r="L22" s="3"/>
      <c r="M22" s="3"/>
      <c r="N22" s="4" t="s">
        <v>57</v>
      </c>
      <c r="O22" s="3"/>
      <c r="P22" s="3"/>
      <c r="Q22" s="3"/>
      <c r="R22" s="37"/>
      <c r="S22" s="37"/>
      <c r="T22" s="37"/>
    </row>
    <row r="23" spans="1:20">
      <c r="A23" s="133"/>
      <c r="B23" s="4" t="s">
        <v>866</v>
      </c>
      <c r="C23" s="3">
        <v>3</v>
      </c>
      <c r="D23" s="3" t="s">
        <v>472</v>
      </c>
      <c r="E23" s="3" t="s">
        <v>64</v>
      </c>
      <c r="F23" s="3" t="s">
        <v>65</v>
      </c>
      <c r="G23" s="3" t="s">
        <v>61</v>
      </c>
      <c r="H23" s="3"/>
      <c r="I23" s="3" t="s">
        <v>66</v>
      </c>
      <c r="J23" s="3"/>
      <c r="K23" s="3" t="s">
        <v>67</v>
      </c>
      <c r="L23" s="3"/>
      <c r="M23" s="3"/>
      <c r="N23" s="4" t="s">
        <v>57</v>
      </c>
      <c r="O23" s="3"/>
      <c r="P23" s="3"/>
      <c r="Q23" s="3"/>
      <c r="R23" s="37"/>
      <c r="S23" s="37"/>
      <c r="T23" s="37"/>
    </row>
    <row r="24" spans="1:20">
      <c r="A24" s="133"/>
      <c r="B24" s="4" t="s">
        <v>3885</v>
      </c>
      <c r="C24" s="3">
        <v>2</v>
      </c>
      <c r="D24" s="3" t="s">
        <v>472</v>
      </c>
      <c r="E24" s="3" t="s">
        <v>64</v>
      </c>
      <c r="F24" s="3" t="s">
        <v>65</v>
      </c>
      <c r="G24" s="3"/>
      <c r="H24" s="3" t="s">
        <v>62</v>
      </c>
      <c r="I24" s="3" t="s">
        <v>66</v>
      </c>
      <c r="J24" s="3"/>
      <c r="K24" s="3" t="s">
        <v>67</v>
      </c>
      <c r="L24" s="3"/>
      <c r="M24" s="3"/>
      <c r="N24" s="4" t="s">
        <v>57</v>
      </c>
      <c r="O24" s="3"/>
      <c r="P24" s="3"/>
      <c r="Q24" s="3"/>
      <c r="R24" s="37"/>
      <c r="S24" s="37"/>
      <c r="T24" s="37"/>
    </row>
    <row r="25" spans="1:20">
      <c r="A25" s="133"/>
      <c r="B25" s="4" t="s">
        <v>102</v>
      </c>
      <c r="C25" s="3">
        <v>3</v>
      </c>
      <c r="D25" s="3" t="s">
        <v>474</v>
      </c>
      <c r="E25" s="3"/>
      <c r="F25" s="3"/>
      <c r="G25" s="3" t="s">
        <v>61</v>
      </c>
      <c r="H25" s="3"/>
      <c r="I25" s="3" t="s">
        <v>66</v>
      </c>
      <c r="J25" s="3"/>
      <c r="K25" s="3" t="s">
        <v>67</v>
      </c>
      <c r="L25" s="3" t="s">
        <v>69</v>
      </c>
      <c r="M25" s="4" t="s">
        <v>56</v>
      </c>
      <c r="N25" s="3"/>
      <c r="O25" s="3"/>
      <c r="P25" s="4" t="s">
        <v>59</v>
      </c>
      <c r="Q25" s="3"/>
      <c r="R25" s="37"/>
      <c r="S25" s="37"/>
      <c r="T25" s="37"/>
    </row>
    <row r="26" spans="1:20">
      <c r="A26" s="133"/>
      <c r="B26" s="4" t="s">
        <v>867</v>
      </c>
      <c r="C26" s="3">
        <v>3</v>
      </c>
      <c r="D26" s="3" t="s">
        <v>474</v>
      </c>
      <c r="E26" s="3"/>
      <c r="F26" s="3"/>
      <c r="G26" s="3"/>
      <c r="H26" s="3"/>
      <c r="I26" s="3" t="s">
        <v>66</v>
      </c>
      <c r="J26" s="3" t="s">
        <v>63</v>
      </c>
      <c r="K26" s="3" t="s">
        <v>67</v>
      </c>
      <c r="L26" s="3" t="s">
        <v>69</v>
      </c>
      <c r="M26" s="4" t="s">
        <v>56</v>
      </c>
      <c r="N26" s="3"/>
      <c r="O26" s="3"/>
      <c r="P26" s="4" t="s">
        <v>59</v>
      </c>
      <c r="Q26" s="3"/>
      <c r="R26" s="37"/>
      <c r="S26" s="37"/>
      <c r="T26" s="37"/>
    </row>
    <row r="27" spans="1:20">
      <c r="A27" s="133"/>
      <c r="B27" s="4" t="s">
        <v>91</v>
      </c>
      <c r="C27" s="3">
        <v>3</v>
      </c>
      <c r="D27" s="3" t="s">
        <v>474</v>
      </c>
      <c r="E27" s="3" t="s">
        <v>64</v>
      </c>
      <c r="F27" s="3" t="s">
        <v>65</v>
      </c>
      <c r="G27" s="3" t="s">
        <v>61</v>
      </c>
      <c r="H27" s="3"/>
      <c r="I27" s="3" t="s">
        <v>66</v>
      </c>
      <c r="J27" s="3"/>
      <c r="K27" s="3" t="s">
        <v>67</v>
      </c>
      <c r="L27" s="3"/>
      <c r="M27" s="3"/>
      <c r="N27" s="3"/>
      <c r="O27" s="4" t="s">
        <v>58</v>
      </c>
      <c r="P27" s="3"/>
      <c r="Q27" s="3"/>
      <c r="R27" s="37"/>
      <c r="S27" s="37"/>
      <c r="T27" s="37"/>
    </row>
    <row r="28" spans="1:20">
      <c r="A28" s="133"/>
      <c r="B28" s="4" t="s">
        <v>3875</v>
      </c>
      <c r="C28" s="3">
        <v>3</v>
      </c>
      <c r="D28" s="3" t="s">
        <v>478</v>
      </c>
      <c r="E28" s="3" t="s">
        <v>64</v>
      </c>
      <c r="F28" s="3"/>
      <c r="G28" s="3" t="s">
        <v>61</v>
      </c>
      <c r="H28" s="3"/>
      <c r="I28" s="3" t="s">
        <v>66</v>
      </c>
      <c r="J28" s="3"/>
      <c r="K28" s="3" t="s">
        <v>67</v>
      </c>
      <c r="L28" s="3"/>
      <c r="M28" s="4" t="s">
        <v>56</v>
      </c>
      <c r="N28" s="3"/>
      <c r="O28" s="3"/>
      <c r="P28" s="4" t="s">
        <v>59</v>
      </c>
      <c r="Q28" s="3"/>
      <c r="R28" s="37"/>
      <c r="S28" s="37"/>
      <c r="T28" s="37"/>
    </row>
    <row r="29" spans="1:20">
      <c r="A29" s="133"/>
      <c r="B29" s="4" t="s">
        <v>868</v>
      </c>
      <c r="C29" s="3">
        <v>2</v>
      </c>
      <c r="D29" s="3" t="s">
        <v>472</v>
      </c>
      <c r="E29" s="3" t="s">
        <v>64</v>
      </c>
      <c r="F29" s="3" t="s">
        <v>65</v>
      </c>
      <c r="G29" s="3"/>
      <c r="H29" s="3" t="s">
        <v>62</v>
      </c>
      <c r="I29" s="3" t="s">
        <v>66</v>
      </c>
      <c r="J29" s="3"/>
      <c r="K29" s="3" t="s">
        <v>67</v>
      </c>
      <c r="L29" s="3"/>
      <c r="M29" s="3"/>
      <c r="N29" s="3"/>
      <c r="O29" s="3"/>
      <c r="P29" s="4" t="s">
        <v>59</v>
      </c>
      <c r="Q29" s="3"/>
      <c r="R29" s="37"/>
      <c r="S29" s="37"/>
      <c r="T29" s="37"/>
    </row>
    <row r="30" spans="1:20">
      <c r="A30" s="133"/>
      <c r="B30" s="4" t="s">
        <v>497</v>
      </c>
      <c r="C30" s="3">
        <v>3</v>
      </c>
      <c r="D30" s="3" t="s">
        <v>472</v>
      </c>
      <c r="E30" s="3" t="s">
        <v>64</v>
      </c>
      <c r="F30" s="3"/>
      <c r="G30" s="3" t="s">
        <v>61</v>
      </c>
      <c r="H30" s="3"/>
      <c r="I30" s="3" t="s">
        <v>66</v>
      </c>
      <c r="J30" s="3" t="s">
        <v>63</v>
      </c>
      <c r="K30" s="3" t="s">
        <v>67</v>
      </c>
      <c r="L30" s="3" t="s">
        <v>69</v>
      </c>
      <c r="M30" s="3"/>
      <c r="N30" s="3"/>
      <c r="O30" s="3"/>
      <c r="P30" s="3"/>
      <c r="Q30" s="3"/>
      <c r="R30" s="37"/>
      <c r="S30" s="37"/>
      <c r="T30" s="37"/>
    </row>
    <row r="31" spans="1:20">
      <c r="A31" s="133"/>
      <c r="B31" s="4" t="s">
        <v>869</v>
      </c>
      <c r="C31" s="3">
        <v>2</v>
      </c>
      <c r="D31" s="3" t="s">
        <v>472</v>
      </c>
      <c r="E31" s="3" t="s">
        <v>64</v>
      </c>
      <c r="F31" s="3" t="s">
        <v>65</v>
      </c>
      <c r="G31" s="3"/>
      <c r="H31" s="3" t="s">
        <v>62</v>
      </c>
      <c r="I31" s="3" t="s">
        <v>66</v>
      </c>
      <c r="J31" s="3"/>
      <c r="K31" s="3" t="s">
        <v>67</v>
      </c>
      <c r="L31" s="3"/>
      <c r="M31" s="3"/>
      <c r="N31" s="4" t="s">
        <v>57</v>
      </c>
      <c r="O31" s="3"/>
      <c r="P31" s="3"/>
      <c r="Q31" s="3"/>
      <c r="R31" s="37"/>
      <c r="S31" s="37"/>
      <c r="T31" s="37"/>
    </row>
    <row r="32" spans="1:20">
      <c r="A32" s="133"/>
      <c r="B32" s="4" t="s">
        <v>98</v>
      </c>
      <c r="C32" s="3">
        <v>2</v>
      </c>
      <c r="D32" s="3" t="s">
        <v>474</v>
      </c>
      <c r="E32" s="3" t="s">
        <v>64</v>
      </c>
      <c r="F32" s="3" t="s">
        <v>65</v>
      </c>
      <c r="G32" s="3"/>
      <c r="H32" s="3" t="s">
        <v>62</v>
      </c>
      <c r="I32" s="3" t="s">
        <v>66</v>
      </c>
      <c r="J32" s="3" t="s">
        <v>63</v>
      </c>
      <c r="K32" s="3"/>
      <c r="L32" s="3"/>
      <c r="M32" s="3"/>
      <c r="N32" s="4" t="s">
        <v>57</v>
      </c>
      <c r="O32" s="3"/>
      <c r="P32" s="3"/>
      <c r="Q32" s="3"/>
      <c r="R32" s="37"/>
      <c r="S32" s="37"/>
      <c r="T32" s="37"/>
    </row>
    <row r="33" spans="1:20">
      <c r="A33" s="133"/>
      <c r="B33" s="4" t="s">
        <v>3869</v>
      </c>
      <c r="C33" s="3">
        <v>3</v>
      </c>
      <c r="D33" s="3" t="s">
        <v>474</v>
      </c>
      <c r="E33" s="3"/>
      <c r="F33" s="3" t="s">
        <v>65</v>
      </c>
      <c r="G33" s="3"/>
      <c r="H33" s="3" t="s">
        <v>62</v>
      </c>
      <c r="I33" s="3" t="s">
        <v>66</v>
      </c>
      <c r="J33" s="3" t="s">
        <v>63</v>
      </c>
      <c r="K33" s="3"/>
      <c r="L33" s="3" t="s">
        <v>69</v>
      </c>
      <c r="M33" s="3"/>
      <c r="N33" s="3"/>
      <c r="O33" s="4" t="s">
        <v>58</v>
      </c>
      <c r="P33" s="3"/>
      <c r="Q33" s="3"/>
      <c r="R33" s="37"/>
      <c r="S33" s="37"/>
      <c r="T33" s="37"/>
    </row>
    <row r="34" spans="1:20">
      <c r="A34" s="133"/>
      <c r="B34" s="4" t="s">
        <v>494</v>
      </c>
      <c r="C34" s="3">
        <v>3</v>
      </c>
      <c r="D34" s="3" t="s">
        <v>475</v>
      </c>
      <c r="E34" s="3" t="s">
        <v>64</v>
      </c>
      <c r="F34" s="3"/>
      <c r="G34" s="3"/>
      <c r="H34" s="3"/>
      <c r="I34" s="3" t="s">
        <v>66</v>
      </c>
      <c r="J34" s="3" t="s">
        <v>63</v>
      </c>
      <c r="K34" s="3" t="s">
        <v>67</v>
      </c>
      <c r="L34" s="3"/>
      <c r="M34" s="4" t="s">
        <v>56</v>
      </c>
      <c r="N34" s="4" t="s">
        <v>57</v>
      </c>
      <c r="O34" s="3"/>
      <c r="P34" s="3"/>
      <c r="Q34" s="3"/>
      <c r="R34" s="37"/>
      <c r="S34" s="37"/>
      <c r="T34" s="37"/>
    </row>
    <row r="35" spans="1:20">
      <c r="A35" s="133"/>
      <c r="B35" s="4" t="s">
        <v>80</v>
      </c>
      <c r="C35" s="3">
        <v>3</v>
      </c>
      <c r="D35" s="3" t="s">
        <v>478</v>
      </c>
      <c r="E35" s="3" t="s">
        <v>64</v>
      </c>
      <c r="F35" s="3"/>
      <c r="G35" s="3" t="s">
        <v>61</v>
      </c>
      <c r="H35" s="3"/>
      <c r="I35" s="3" t="s">
        <v>66</v>
      </c>
      <c r="J35" s="3"/>
      <c r="K35" s="3" t="s">
        <v>67</v>
      </c>
      <c r="L35" s="3" t="s">
        <v>69</v>
      </c>
      <c r="M35" s="3"/>
      <c r="N35" s="3"/>
      <c r="O35" s="3"/>
      <c r="P35" s="4" t="s">
        <v>59</v>
      </c>
      <c r="Q35" s="3"/>
      <c r="R35" s="37"/>
      <c r="S35" s="37"/>
      <c r="T35" s="37"/>
    </row>
    <row r="36" spans="1:20">
      <c r="A36" s="133"/>
      <c r="B36" s="4" t="s">
        <v>476</v>
      </c>
      <c r="C36" s="3">
        <v>4</v>
      </c>
      <c r="D36" s="3" t="s">
        <v>475</v>
      </c>
      <c r="E36" s="3"/>
      <c r="F36" s="3" t="s">
        <v>65</v>
      </c>
      <c r="G36" s="3" t="s">
        <v>61</v>
      </c>
      <c r="H36" s="3"/>
      <c r="I36" s="3" t="s">
        <v>66</v>
      </c>
      <c r="J36" s="3" t="s">
        <v>63</v>
      </c>
      <c r="K36" s="3"/>
      <c r="L36" s="3"/>
      <c r="M36" s="3"/>
      <c r="N36" s="4" t="s">
        <v>57</v>
      </c>
      <c r="O36" s="4" t="s">
        <v>58</v>
      </c>
      <c r="P36" s="3"/>
      <c r="Q36" s="3"/>
      <c r="R36" s="37"/>
      <c r="S36" s="37"/>
      <c r="T36" s="37"/>
    </row>
    <row r="37" spans="1:20">
      <c r="A37" s="133" t="s">
        <v>505</v>
      </c>
      <c r="B37" s="4" t="s">
        <v>70</v>
      </c>
      <c r="C37" s="3">
        <v>4</v>
      </c>
      <c r="D37" s="3" t="s">
        <v>474</v>
      </c>
      <c r="E37" s="3"/>
      <c r="F37" s="3" t="s">
        <v>65</v>
      </c>
      <c r="G37" s="3"/>
      <c r="H37" s="3"/>
      <c r="I37" s="3"/>
      <c r="J37" s="3" t="s">
        <v>63</v>
      </c>
      <c r="K37" s="3"/>
      <c r="L37" s="3" t="s">
        <v>69</v>
      </c>
      <c r="M37" s="4" t="s">
        <v>56</v>
      </c>
      <c r="N37" s="3"/>
      <c r="O37" s="3"/>
      <c r="P37" s="4" t="s">
        <v>59</v>
      </c>
      <c r="Q37" s="4" t="s">
        <v>60</v>
      </c>
      <c r="R37" s="37"/>
      <c r="S37" s="37"/>
      <c r="T37" s="37"/>
    </row>
    <row r="38" spans="1:20">
      <c r="A38" s="133"/>
      <c r="B38" s="4" t="s">
        <v>78</v>
      </c>
      <c r="C38" s="3">
        <v>4</v>
      </c>
      <c r="D38" s="3" t="s">
        <v>474</v>
      </c>
      <c r="E38" s="3"/>
      <c r="F38" s="3"/>
      <c r="G38" s="3" t="s">
        <v>61</v>
      </c>
      <c r="H38" s="3"/>
      <c r="I38" s="3" t="s">
        <v>66</v>
      </c>
      <c r="J38" s="3"/>
      <c r="K38" s="3" t="s">
        <v>67</v>
      </c>
      <c r="L38" s="3"/>
      <c r="M38" s="4" t="s">
        <v>56</v>
      </c>
      <c r="N38" s="3"/>
      <c r="O38" s="4"/>
      <c r="P38" s="4" t="s">
        <v>59</v>
      </c>
      <c r="Q38" s="4" t="s">
        <v>60</v>
      </c>
      <c r="R38" s="37"/>
      <c r="S38" s="37"/>
      <c r="T38" s="37"/>
    </row>
    <row r="39" spans="1:20">
      <c r="A39" s="133"/>
      <c r="B39" s="4" t="s">
        <v>81</v>
      </c>
      <c r="C39" s="3">
        <v>4</v>
      </c>
      <c r="D39" s="3" t="s">
        <v>474</v>
      </c>
      <c r="E39" s="3"/>
      <c r="F39" s="3" t="s">
        <v>65</v>
      </c>
      <c r="G39" s="3"/>
      <c r="H39" s="3" t="s">
        <v>62</v>
      </c>
      <c r="I39" s="3"/>
      <c r="J39" s="3" t="s">
        <v>63</v>
      </c>
      <c r="K39" s="3"/>
      <c r="L39" s="3"/>
      <c r="M39" s="4" t="s">
        <v>56</v>
      </c>
      <c r="N39" s="3"/>
      <c r="O39" s="4" t="s">
        <v>58</v>
      </c>
      <c r="P39" s="4"/>
      <c r="Q39" s="4" t="s">
        <v>60</v>
      </c>
      <c r="R39" s="37"/>
      <c r="S39" s="37"/>
      <c r="T39" s="37"/>
    </row>
    <row r="40" spans="1:20">
      <c r="A40" s="133"/>
      <c r="B40" s="4" t="s">
        <v>4055</v>
      </c>
      <c r="C40" s="3">
        <v>4</v>
      </c>
      <c r="D40" s="3" t="s">
        <v>478</v>
      </c>
      <c r="E40" s="3" t="s">
        <v>64</v>
      </c>
      <c r="F40" s="3"/>
      <c r="G40" s="3" t="s">
        <v>61</v>
      </c>
      <c r="H40" s="3"/>
      <c r="I40" s="3"/>
      <c r="J40" s="3"/>
      <c r="K40" s="3" t="s">
        <v>67</v>
      </c>
      <c r="L40" s="3" t="s">
        <v>69</v>
      </c>
      <c r="M40" s="4" t="s">
        <v>56</v>
      </c>
      <c r="N40" s="3"/>
      <c r="O40" s="3"/>
      <c r="P40" s="3"/>
      <c r="Q40" s="4" t="s">
        <v>60</v>
      </c>
      <c r="R40" s="37"/>
      <c r="S40" s="37"/>
      <c r="T40" s="37"/>
    </row>
    <row r="41" spans="1:20">
      <c r="A41" s="133"/>
      <c r="B41" s="4" t="s">
        <v>871</v>
      </c>
      <c r="C41" s="3">
        <v>4</v>
      </c>
      <c r="D41" s="3" t="s">
        <v>475</v>
      </c>
      <c r="E41" s="3"/>
      <c r="F41" s="3" t="s">
        <v>65</v>
      </c>
      <c r="G41" s="3"/>
      <c r="H41" s="3"/>
      <c r="I41" s="3" t="s">
        <v>66</v>
      </c>
      <c r="J41" s="3" t="s">
        <v>63</v>
      </c>
      <c r="K41" s="3"/>
      <c r="L41" s="3" t="s">
        <v>69</v>
      </c>
      <c r="M41" s="4" t="s">
        <v>56</v>
      </c>
      <c r="N41" s="3"/>
      <c r="O41" s="4" t="s">
        <v>58</v>
      </c>
      <c r="P41" s="4"/>
      <c r="Q41" s="4" t="s">
        <v>60</v>
      </c>
      <c r="R41" s="37"/>
      <c r="S41" s="37"/>
      <c r="T41" s="37"/>
    </row>
    <row r="42" spans="1:20">
      <c r="A42" s="133"/>
      <c r="B42" s="4" t="s">
        <v>101</v>
      </c>
      <c r="C42" s="3">
        <v>4</v>
      </c>
      <c r="D42" s="3" t="s">
        <v>478</v>
      </c>
      <c r="E42" s="3"/>
      <c r="F42" s="3"/>
      <c r="G42" s="3"/>
      <c r="H42" s="3" t="s">
        <v>62</v>
      </c>
      <c r="I42" s="3" t="s">
        <v>66</v>
      </c>
      <c r="J42" s="3" t="s">
        <v>53</v>
      </c>
      <c r="K42" s="3"/>
      <c r="L42" s="3" t="s">
        <v>69</v>
      </c>
      <c r="M42" s="3"/>
      <c r="N42" s="3"/>
      <c r="O42" s="4"/>
      <c r="P42" s="4" t="s">
        <v>59</v>
      </c>
      <c r="Q42" s="4" t="s">
        <v>60</v>
      </c>
      <c r="R42" s="37"/>
      <c r="S42" s="37"/>
      <c r="T42" s="37"/>
    </row>
    <row r="43" spans="1:20">
      <c r="A43" s="133"/>
      <c r="B43" s="4" t="s">
        <v>96</v>
      </c>
      <c r="C43" s="3">
        <v>4</v>
      </c>
      <c r="D43" s="3" t="s">
        <v>478</v>
      </c>
      <c r="E43" s="3" t="s">
        <v>64</v>
      </c>
      <c r="F43" s="3"/>
      <c r="G43" s="3" t="s">
        <v>61</v>
      </c>
      <c r="H43" s="3"/>
      <c r="I43" s="3" t="s">
        <v>66</v>
      </c>
      <c r="J43" s="3"/>
      <c r="K43" s="3"/>
      <c r="L43" s="3" t="s">
        <v>69</v>
      </c>
      <c r="M43" s="3"/>
      <c r="N43" s="3"/>
      <c r="O43" s="4" t="s">
        <v>58</v>
      </c>
      <c r="P43" s="4"/>
      <c r="Q43" s="4" t="s">
        <v>60</v>
      </c>
      <c r="R43" s="37"/>
      <c r="S43" s="37"/>
      <c r="T43" s="37"/>
    </row>
    <row r="44" spans="1:20">
      <c r="A44" s="133"/>
      <c r="B44" s="4" t="s">
        <v>82</v>
      </c>
      <c r="C44" s="3">
        <v>4</v>
      </c>
      <c r="D44" s="3" t="s">
        <v>472</v>
      </c>
      <c r="E44" s="3" t="s">
        <v>64</v>
      </c>
      <c r="F44" s="3"/>
      <c r="G44" s="3" t="s">
        <v>61</v>
      </c>
      <c r="H44" s="3"/>
      <c r="I44" s="3"/>
      <c r="J44" s="3"/>
      <c r="K44" s="3" t="s">
        <v>54</v>
      </c>
      <c r="L44" s="3"/>
      <c r="M44" s="4" t="s">
        <v>56</v>
      </c>
      <c r="N44" s="3"/>
      <c r="O44" s="4" t="s">
        <v>58</v>
      </c>
      <c r="P44" s="3"/>
      <c r="Q44" s="4" t="s">
        <v>60</v>
      </c>
      <c r="R44" s="37"/>
      <c r="S44" s="37"/>
      <c r="T44" s="37"/>
    </row>
    <row r="45" spans="1:20">
      <c r="A45" s="133"/>
      <c r="B45" s="4" t="s">
        <v>882</v>
      </c>
      <c r="C45" s="3">
        <v>4</v>
      </c>
      <c r="D45" s="3" t="s">
        <v>475</v>
      </c>
      <c r="E45" s="3" t="s">
        <v>64</v>
      </c>
      <c r="F45" s="3"/>
      <c r="G45" s="3"/>
      <c r="H45" s="3" t="s">
        <v>62</v>
      </c>
      <c r="I45" s="3" t="s">
        <v>66</v>
      </c>
      <c r="J45" s="3" t="s">
        <v>63</v>
      </c>
      <c r="K45" s="3"/>
      <c r="L45" s="3"/>
      <c r="M45" s="3"/>
      <c r="N45" s="3"/>
      <c r="O45" s="3"/>
      <c r="P45" s="4" t="s">
        <v>59</v>
      </c>
      <c r="Q45" s="4" t="s">
        <v>60</v>
      </c>
      <c r="R45" s="37"/>
      <c r="S45" s="37"/>
      <c r="T45" s="37"/>
    </row>
    <row r="46" spans="1:20">
      <c r="A46" s="133"/>
      <c r="B46" s="4" t="s">
        <v>73</v>
      </c>
      <c r="C46" s="3">
        <v>4</v>
      </c>
      <c r="D46" s="3" t="s">
        <v>472</v>
      </c>
      <c r="E46" s="3" t="s">
        <v>64</v>
      </c>
      <c r="F46" s="3"/>
      <c r="G46" s="3" t="s">
        <v>61</v>
      </c>
      <c r="H46" s="3"/>
      <c r="I46" s="3" t="s">
        <v>66</v>
      </c>
      <c r="J46" s="3"/>
      <c r="K46" s="3" t="s">
        <v>67</v>
      </c>
      <c r="L46" s="3"/>
      <c r="M46" s="3"/>
      <c r="N46" s="3"/>
      <c r="O46" s="4" t="s">
        <v>58</v>
      </c>
      <c r="P46" s="3"/>
      <c r="Q46" s="4" t="s">
        <v>60</v>
      </c>
      <c r="R46" s="37"/>
      <c r="S46" s="37"/>
      <c r="T46" s="37"/>
    </row>
    <row r="47" spans="1:20">
      <c r="A47" s="133"/>
      <c r="B47" s="4" t="s">
        <v>872</v>
      </c>
      <c r="C47" s="3">
        <v>4</v>
      </c>
      <c r="D47" s="3" t="s">
        <v>475</v>
      </c>
      <c r="E47" s="3" t="s">
        <v>64</v>
      </c>
      <c r="F47" s="3"/>
      <c r="G47" s="3" t="s">
        <v>61</v>
      </c>
      <c r="H47" s="3"/>
      <c r="I47" s="3" t="s">
        <v>66</v>
      </c>
      <c r="J47" s="3"/>
      <c r="K47" s="3"/>
      <c r="L47" s="3"/>
      <c r="M47" s="4" t="s">
        <v>56</v>
      </c>
      <c r="N47" s="3"/>
      <c r="O47" s="3"/>
      <c r="P47" s="4" t="s">
        <v>59</v>
      </c>
      <c r="Q47" s="4" t="s">
        <v>60</v>
      </c>
      <c r="R47" s="37"/>
      <c r="S47" s="37"/>
      <c r="T47" s="37"/>
    </row>
    <row r="48" spans="1:20">
      <c r="A48" s="133"/>
      <c r="B48" s="4" t="s">
        <v>883</v>
      </c>
      <c r="C48" s="3">
        <v>4</v>
      </c>
      <c r="D48" s="3" t="s">
        <v>472</v>
      </c>
      <c r="E48" s="3" t="s">
        <v>64</v>
      </c>
      <c r="F48" s="3" t="s">
        <v>65</v>
      </c>
      <c r="G48" s="3" t="s">
        <v>61</v>
      </c>
      <c r="H48" s="3"/>
      <c r="I48" s="3" t="s">
        <v>66</v>
      </c>
      <c r="J48" s="3" t="s">
        <v>63</v>
      </c>
      <c r="K48" s="3"/>
      <c r="L48" s="3"/>
      <c r="M48" s="3"/>
      <c r="N48" s="4" t="s">
        <v>57</v>
      </c>
      <c r="O48" s="3"/>
      <c r="P48" s="3"/>
      <c r="Q48" s="4" t="s">
        <v>60</v>
      </c>
      <c r="R48" s="37"/>
      <c r="S48" s="37"/>
      <c r="T48" s="37"/>
    </row>
    <row r="49" spans="1:20">
      <c r="A49" s="133"/>
      <c r="B49" s="4" t="s">
        <v>77</v>
      </c>
      <c r="C49" s="3">
        <v>4</v>
      </c>
      <c r="D49" s="3" t="s">
        <v>474</v>
      </c>
      <c r="E49" s="3" t="s">
        <v>64</v>
      </c>
      <c r="F49" s="3" t="s">
        <v>65</v>
      </c>
      <c r="G49" s="3" t="s">
        <v>61</v>
      </c>
      <c r="H49" s="3"/>
      <c r="I49" s="3" t="s">
        <v>66</v>
      </c>
      <c r="J49" s="3" t="s">
        <v>63</v>
      </c>
      <c r="K49" s="3"/>
      <c r="L49" s="3"/>
      <c r="M49" s="3"/>
      <c r="N49" s="4" t="s">
        <v>57</v>
      </c>
      <c r="O49" s="3"/>
      <c r="P49" s="3"/>
      <c r="Q49" s="4" t="s">
        <v>60</v>
      </c>
      <c r="R49" s="37"/>
      <c r="S49" s="37"/>
      <c r="T49" s="37"/>
    </row>
    <row r="50" spans="1:20">
      <c r="A50" s="132" t="s">
        <v>1693</v>
      </c>
      <c r="B50" s="4" t="s">
        <v>489</v>
      </c>
      <c r="C50" s="3">
        <v>4</v>
      </c>
      <c r="D50" s="3" t="s">
        <v>475</v>
      </c>
      <c r="E50" s="3"/>
      <c r="F50" s="3" t="s">
        <v>65</v>
      </c>
      <c r="G50" s="3"/>
      <c r="H50" s="3"/>
      <c r="I50" s="3" t="s">
        <v>66</v>
      </c>
      <c r="J50" s="3" t="s">
        <v>63</v>
      </c>
      <c r="K50" s="3"/>
      <c r="L50" s="3"/>
      <c r="M50" s="4" t="s">
        <v>56</v>
      </c>
      <c r="N50" s="3"/>
      <c r="O50" s="4" t="s">
        <v>58</v>
      </c>
      <c r="P50" s="3"/>
      <c r="Q50" s="4" t="s">
        <v>60</v>
      </c>
      <c r="R50" s="37"/>
      <c r="S50" s="37"/>
      <c r="T50" s="37"/>
    </row>
    <row r="51" spans="1:20">
      <c r="A51" s="132"/>
      <c r="B51" s="4" t="s">
        <v>873</v>
      </c>
      <c r="C51" s="3">
        <v>4</v>
      </c>
      <c r="D51" s="3" t="s">
        <v>472</v>
      </c>
      <c r="E51" s="3" t="s">
        <v>64</v>
      </c>
      <c r="F51" s="3"/>
      <c r="G51" s="3" t="s">
        <v>61</v>
      </c>
      <c r="H51" s="3"/>
      <c r="I51" s="3"/>
      <c r="J51" s="3"/>
      <c r="K51" s="3" t="s">
        <v>67</v>
      </c>
      <c r="L51" s="3"/>
      <c r="M51" s="3"/>
      <c r="N51" s="4" t="s">
        <v>57</v>
      </c>
      <c r="O51" s="3"/>
      <c r="P51" s="4" t="s">
        <v>59</v>
      </c>
      <c r="Q51" s="4" t="s">
        <v>60</v>
      </c>
      <c r="R51" s="37"/>
      <c r="S51" s="37"/>
      <c r="T51" s="37"/>
    </row>
    <row r="52" spans="1:20">
      <c r="A52" s="132"/>
      <c r="B52" s="4" t="s">
        <v>874</v>
      </c>
      <c r="C52" s="3">
        <v>4</v>
      </c>
      <c r="D52" s="3" t="s">
        <v>474</v>
      </c>
      <c r="E52" s="3"/>
      <c r="F52" s="3" t="s">
        <v>65</v>
      </c>
      <c r="G52" s="3"/>
      <c r="H52" s="3" t="s">
        <v>62</v>
      </c>
      <c r="I52" s="3" t="s">
        <v>66</v>
      </c>
      <c r="J52" s="3"/>
      <c r="K52" s="3"/>
      <c r="L52" s="3"/>
      <c r="M52" s="3"/>
      <c r="N52" s="4" t="s">
        <v>57</v>
      </c>
      <c r="O52" s="4" t="s">
        <v>58</v>
      </c>
      <c r="P52" s="3"/>
      <c r="Q52" s="4" t="s">
        <v>60</v>
      </c>
      <c r="R52" s="37"/>
      <c r="S52" s="37"/>
      <c r="T52" s="37"/>
    </row>
    <row r="53" spans="1:20">
      <c r="A53" s="132"/>
      <c r="B53" s="4" t="s">
        <v>74</v>
      </c>
      <c r="C53" s="3">
        <v>4</v>
      </c>
      <c r="D53" s="3" t="s">
        <v>478</v>
      </c>
      <c r="E53" s="3" t="s">
        <v>64</v>
      </c>
      <c r="F53" s="3"/>
      <c r="G53" s="3" t="s">
        <v>61</v>
      </c>
      <c r="H53" s="3" t="s">
        <v>62</v>
      </c>
      <c r="I53" s="3"/>
      <c r="J53" s="3"/>
      <c r="K53" s="3" t="s">
        <v>67</v>
      </c>
      <c r="L53" s="3"/>
      <c r="M53" s="3"/>
      <c r="N53" s="3"/>
      <c r="O53" s="3"/>
      <c r="P53" s="4" t="s">
        <v>59</v>
      </c>
      <c r="Q53" s="4" t="s">
        <v>60</v>
      </c>
      <c r="R53" s="37"/>
      <c r="S53" s="37"/>
      <c r="T53" s="37"/>
    </row>
    <row r="54" spans="1:20">
      <c r="A54" s="132"/>
      <c r="B54" s="4" t="s">
        <v>93</v>
      </c>
      <c r="C54" s="3">
        <v>4</v>
      </c>
      <c r="D54" s="3" t="s">
        <v>478</v>
      </c>
      <c r="E54" s="3"/>
      <c r="F54" s="3"/>
      <c r="G54" s="3" t="s">
        <v>61</v>
      </c>
      <c r="H54" s="3" t="s">
        <v>62</v>
      </c>
      <c r="I54" s="3"/>
      <c r="J54" s="3" t="s">
        <v>63</v>
      </c>
      <c r="K54" s="3"/>
      <c r="L54" s="3" t="s">
        <v>69</v>
      </c>
      <c r="M54" s="3"/>
      <c r="N54" s="4" t="s">
        <v>57</v>
      </c>
      <c r="O54" s="3"/>
      <c r="P54" s="3"/>
      <c r="Q54" s="4" t="s">
        <v>60</v>
      </c>
      <c r="R54" s="37"/>
      <c r="S54" s="37"/>
      <c r="T54" s="37"/>
    </row>
    <row r="55" spans="1:20">
      <c r="A55" s="132"/>
      <c r="B55" s="4" t="s">
        <v>483</v>
      </c>
      <c r="C55" s="3">
        <v>4</v>
      </c>
      <c r="D55" s="3" t="s">
        <v>474</v>
      </c>
      <c r="E55" s="3"/>
      <c r="F55" s="3"/>
      <c r="G55" s="3" t="s">
        <v>61</v>
      </c>
      <c r="H55" s="3"/>
      <c r="I55" s="3"/>
      <c r="J55" s="3" t="s">
        <v>63</v>
      </c>
      <c r="K55" s="3"/>
      <c r="L55" s="3" t="s">
        <v>69</v>
      </c>
      <c r="M55" s="3"/>
      <c r="N55" s="4" t="s">
        <v>57</v>
      </c>
      <c r="O55" s="4" t="s">
        <v>58</v>
      </c>
      <c r="P55" s="3"/>
      <c r="Q55" s="4" t="s">
        <v>60</v>
      </c>
      <c r="R55" s="37"/>
      <c r="S55" s="37"/>
      <c r="T55" s="37"/>
    </row>
    <row r="56" spans="1:20">
      <c r="A56" s="132"/>
      <c r="B56" s="4" t="s">
        <v>484</v>
      </c>
      <c r="C56" s="3">
        <v>4</v>
      </c>
      <c r="D56" s="3" t="s">
        <v>474</v>
      </c>
      <c r="E56" s="3"/>
      <c r="F56" s="3" t="s">
        <v>65</v>
      </c>
      <c r="G56" s="3"/>
      <c r="H56" s="3"/>
      <c r="I56" s="3"/>
      <c r="J56" s="3" t="s">
        <v>63</v>
      </c>
      <c r="K56" s="3"/>
      <c r="L56" s="3"/>
      <c r="M56" s="4" t="s">
        <v>56</v>
      </c>
      <c r="N56" s="4" t="s">
        <v>57</v>
      </c>
      <c r="O56" s="3"/>
      <c r="P56" s="4" t="s">
        <v>59</v>
      </c>
      <c r="Q56" s="4" t="s">
        <v>60</v>
      </c>
      <c r="R56" s="37"/>
      <c r="S56" s="37"/>
      <c r="T56" s="37"/>
    </row>
    <row r="57" spans="1:20">
      <c r="A57" s="132"/>
      <c r="B57" s="4" t="s">
        <v>875</v>
      </c>
      <c r="C57" s="3">
        <v>4</v>
      </c>
      <c r="D57" s="3" t="s">
        <v>475</v>
      </c>
      <c r="E57" s="3" t="s">
        <v>64</v>
      </c>
      <c r="F57" s="3"/>
      <c r="G57" s="3" t="s">
        <v>61</v>
      </c>
      <c r="H57" s="3"/>
      <c r="I57" s="3"/>
      <c r="J57" s="3"/>
      <c r="K57" s="3" t="s">
        <v>67</v>
      </c>
      <c r="L57" s="3"/>
      <c r="M57" s="3"/>
      <c r="N57" s="4" t="s">
        <v>57</v>
      </c>
      <c r="O57" s="4" t="s">
        <v>58</v>
      </c>
      <c r="P57" s="3"/>
      <c r="Q57" s="4" t="s">
        <v>60</v>
      </c>
      <c r="R57" s="37"/>
      <c r="S57" s="37"/>
      <c r="T57" s="37"/>
    </row>
    <row r="58" spans="1:20">
      <c r="A58" s="132"/>
      <c r="B58" s="4" t="s">
        <v>485</v>
      </c>
      <c r="C58" s="3">
        <v>4</v>
      </c>
      <c r="D58" s="3" t="s">
        <v>475</v>
      </c>
      <c r="E58" s="3" t="s">
        <v>64</v>
      </c>
      <c r="F58" s="3" t="s">
        <v>65</v>
      </c>
      <c r="G58" s="3" t="s">
        <v>61</v>
      </c>
      <c r="H58" s="3"/>
      <c r="I58" s="3" t="s">
        <v>66</v>
      </c>
      <c r="J58" s="3" t="s">
        <v>63</v>
      </c>
      <c r="K58" s="3"/>
      <c r="L58" s="3"/>
      <c r="M58" s="3"/>
      <c r="N58" s="3"/>
      <c r="O58" s="3"/>
      <c r="P58" s="3"/>
      <c r="Q58" s="4" t="s">
        <v>60</v>
      </c>
      <c r="R58" s="37"/>
      <c r="S58" s="37"/>
      <c r="T58" s="37"/>
    </row>
    <row r="59" spans="1:20">
      <c r="A59" s="133" t="s">
        <v>506</v>
      </c>
      <c r="B59" s="4" t="s">
        <v>876</v>
      </c>
      <c r="C59" s="3">
        <v>4</v>
      </c>
      <c r="D59" s="3" t="s">
        <v>472</v>
      </c>
      <c r="E59" s="3"/>
      <c r="F59" s="3"/>
      <c r="G59" s="3" t="s">
        <v>61</v>
      </c>
      <c r="H59" s="3"/>
      <c r="I59" s="3" t="s">
        <v>66</v>
      </c>
      <c r="J59" s="3"/>
      <c r="K59" s="3" t="s">
        <v>67</v>
      </c>
      <c r="L59" s="3"/>
      <c r="M59" s="4" t="s">
        <v>56</v>
      </c>
      <c r="N59" s="3"/>
      <c r="O59" s="3"/>
      <c r="P59" s="4" t="s">
        <v>59</v>
      </c>
      <c r="Q59" s="4" t="s">
        <v>60</v>
      </c>
      <c r="R59" s="37"/>
      <c r="S59" s="37"/>
      <c r="T59" s="37"/>
    </row>
    <row r="60" spans="1:20">
      <c r="A60" s="133"/>
      <c r="B60" s="4" t="s">
        <v>3733</v>
      </c>
      <c r="C60" s="3">
        <v>4</v>
      </c>
      <c r="D60" s="3" t="s">
        <v>472</v>
      </c>
      <c r="E60" s="3" t="s">
        <v>64</v>
      </c>
      <c r="F60" s="3" t="s">
        <v>65</v>
      </c>
      <c r="G60" s="3" t="s">
        <v>61</v>
      </c>
      <c r="H60" s="3"/>
      <c r="I60" s="3"/>
      <c r="J60" s="3"/>
      <c r="K60" s="3" t="s">
        <v>67</v>
      </c>
      <c r="L60" s="3" t="s">
        <v>69</v>
      </c>
      <c r="M60" s="3"/>
      <c r="N60" s="3"/>
      <c r="O60" s="3"/>
      <c r="P60" s="3"/>
      <c r="Q60" s="3"/>
      <c r="R60" s="37"/>
      <c r="S60" s="37"/>
      <c r="T60" s="37"/>
    </row>
    <row r="61" spans="1:20">
      <c r="A61" s="133"/>
      <c r="B61" s="4" t="s">
        <v>3881</v>
      </c>
      <c r="C61" s="3">
        <v>4</v>
      </c>
      <c r="D61" s="3" t="s">
        <v>472</v>
      </c>
      <c r="E61" s="3" t="s">
        <v>64</v>
      </c>
      <c r="F61" s="3"/>
      <c r="G61" s="3" t="s">
        <v>61</v>
      </c>
      <c r="H61" s="3"/>
      <c r="I61" s="3"/>
      <c r="J61" s="3"/>
      <c r="K61" s="3" t="s">
        <v>67</v>
      </c>
      <c r="L61" s="3" t="s">
        <v>69</v>
      </c>
      <c r="M61" s="3"/>
      <c r="N61" s="3"/>
      <c r="O61" s="3"/>
      <c r="P61" s="4" t="s">
        <v>59</v>
      </c>
      <c r="Q61" s="4" t="s">
        <v>60</v>
      </c>
      <c r="R61" s="37"/>
      <c r="S61" s="37"/>
      <c r="T61" s="37"/>
    </row>
    <row r="62" spans="1:20">
      <c r="A62" s="133"/>
      <c r="B62" s="4" t="s">
        <v>85</v>
      </c>
      <c r="C62" s="3">
        <v>4</v>
      </c>
      <c r="D62" s="3" t="s">
        <v>474</v>
      </c>
      <c r="E62" s="3"/>
      <c r="F62" s="3"/>
      <c r="G62" s="3" t="s">
        <v>61</v>
      </c>
      <c r="H62" s="3" t="s">
        <v>62</v>
      </c>
      <c r="I62" s="3" t="s">
        <v>66</v>
      </c>
      <c r="J62" s="3"/>
      <c r="K62" s="3"/>
      <c r="L62" s="3"/>
      <c r="M62" s="3"/>
      <c r="N62" s="3"/>
      <c r="O62" s="4" t="s">
        <v>58</v>
      </c>
      <c r="P62" s="4" t="s">
        <v>59</v>
      </c>
      <c r="Q62" s="4"/>
      <c r="R62" s="37"/>
      <c r="S62" s="37"/>
      <c r="T62" s="37"/>
    </row>
    <row r="63" spans="1:20">
      <c r="A63" s="133"/>
      <c r="B63" s="4" t="s">
        <v>3876</v>
      </c>
      <c r="C63" s="3">
        <v>4</v>
      </c>
      <c r="D63" s="3" t="s">
        <v>478</v>
      </c>
      <c r="E63" s="3"/>
      <c r="F63" s="3"/>
      <c r="G63" s="3" t="s">
        <v>61</v>
      </c>
      <c r="H63" s="3"/>
      <c r="I63" s="3" t="s">
        <v>66</v>
      </c>
      <c r="J63" s="3"/>
      <c r="K63" s="3"/>
      <c r="L63" s="3"/>
      <c r="M63" s="4" t="s">
        <v>56</v>
      </c>
      <c r="N63" s="3"/>
      <c r="O63" s="4" t="s">
        <v>58</v>
      </c>
      <c r="P63" s="4" t="s">
        <v>59</v>
      </c>
      <c r="Q63" s="4" t="s">
        <v>60</v>
      </c>
      <c r="R63" s="37"/>
      <c r="S63" s="37"/>
      <c r="T63" s="37"/>
    </row>
    <row r="64" spans="1:20">
      <c r="A64" s="133"/>
      <c r="B64" s="4" t="s">
        <v>877</v>
      </c>
      <c r="C64" s="3">
        <v>4</v>
      </c>
      <c r="D64" s="3" t="s">
        <v>471</v>
      </c>
      <c r="E64" s="3"/>
      <c r="F64" s="3"/>
      <c r="G64" s="3" t="s">
        <v>61</v>
      </c>
      <c r="H64" s="3" t="s">
        <v>62</v>
      </c>
      <c r="I64" s="3"/>
      <c r="J64" s="3" t="s">
        <v>63</v>
      </c>
      <c r="K64" s="3"/>
      <c r="L64" s="3"/>
      <c r="M64" s="4" t="s">
        <v>56</v>
      </c>
      <c r="N64" s="3"/>
      <c r="O64" s="4" t="s">
        <v>58</v>
      </c>
      <c r="P64" s="4" t="s">
        <v>59</v>
      </c>
      <c r="Q64" s="4" t="s">
        <v>60</v>
      </c>
      <c r="R64" s="37"/>
      <c r="S64" s="37"/>
      <c r="T64" s="37"/>
    </row>
    <row r="65" spans="1:20">
      <c r="A65" s="133"/>
      <c r="B65" s="4" t="s">
        <v>88</v>
      </c>
      <c r="C65" s="3">
        <v>4</v>
      </c>
      <c r="D65" s="3" t="s">
        <v>475</v>
      </c>
      <c r="E65" s="3" t="s">
        <v>64</v>
      </c>
      <c r="F65" s="3"/>
      <c r="G65" s="3"/>
      <c r="H65" s="3" t="s">
        <v>62</v>
      </c>
      <c r="I65" s="3" t="s">
        <v>66</v>
      </c>
      <c r="J65" s="3"/>
      <c r="K65" s="3" t="s">
        <v>67</v>
      </c>
      <c r="L65" s="3"/>
      <c r="M65" s="4" t="s">
        <v>56</v>
      </c>
      <c r="N65" s="3"/>
      <c r="O65" s="3"/>
      <c r="P65" s="4" t="s">
        <v>59</v>
      </c>
      <c r="Q65" s="4" t="s">
        <v>60</v>
      </c>
      <c r="R65" s="37"/>
      <c r="S65" s="37"/>
      <c r="T65" s="37"/>
    </row>
    <row r="66" spans="1:20">
      <c r="A66" s="133"/>
      <c r="B66" s="4" t="s">
        <v>878</v>
      </c>
      <c r="C66" s="3">
        <v>4</v>
      </c>
      <c r="D66" s="3" t="s">
        <v>471</v>
      </c>
      <c r="E66" s="3" t="s">
        <v>64</v>
      </c>
      <c r="F66" s="3" t="s">
        <v>65</v>
      </c>
      <c r="G66" s="3"/>
      <c r="H66" s="3"/>
      <c r="I66" s="3"/>
      <c r="J66" s="3" t="s">
        <v>63</v>
      </c>
      <c r="K66" s="3"/>
      <c r="L66" s="3" t="s">
        <v>69</v>
      </c>
      <c r="M66" s="3"/>
      <c r="N66" s="4" t="s">
        <v>57</v>
      </c>
      <c r="O66" s="4" t="s">
        <v>58</v>
      </c>
      <c r="P66" s="3"/>
      <c r="Q66" s="4" t="s">
        <v>60</v>
      </c>
      <c r="R66" s="37"/>
      <c r="S66" s="37"/>
      <c r="T66" s="37"/>
    </row>
    <row r="67" spans="1:20">
      <c r="A67" s="133"/>
      <c r="B67" s="4" t="s">
        <v>2549</v>
      </c>
      <c r="C67" s="3">
        <v>4</v>
      </c>
      <c r="D67" s="3" t="s">
        <v>478</v>
      </c>
      <c r="E67" s="3"/>
      <c r="F67" s="3"/>
      <c r="G67" s="3" t="s">
        <v>61</v>
      </c>
      <c r="H67" s="3" t="s">
        <v>62</v>
      </c>
      <c r="I67" s="3" t="s">
        <v>66</v>
      </c>
      <c r="J67" s="3" t="s">
        <v>63</v>
      </c>
      <c r="K67" s="3"/>
      <c r="L67" s="3"/>
      <c r="M67" s="3"/>
      <c r="N67" s="4" t="s">
        <v>57</v>
      </c>
      <c r="O67" s="3"/>
      <c r="P67" s="3"/>
      <c r="Q67" s="4" t="s">
        <v>60</v>
      </c>
      <c r="R67" s="37"/>
      <c r="S67" s="37"/>
      <c r="T67" s="37"/>
    </row>
    <row r="68" spans="1:20">
      <c r="A68" s="133" t="s">
        <v>507</v>
      </c>
      <c r="B68" s="4" t="s">
        <v>879</v>
      </c>
      <c r="C68" s="3">
        <v>5</v>
      </c>
      <c r="D68" s="3" t="s">
        <v>472</v>
      </c>
      <c r="E68" s="3" t="s">
        <v>64</v>
      </c>
      <c r="F68" s="3"/>
      <c r="G68" s="3" t="s">
        <v>61</v>
      </c>
      <c r="H68" s="3" t="s">
        <v>62</v>
      </c>
      <c r="I68" s="3" t="s">
        <v>66</v>
      </c>
      <c r="J68" s="3"/>
      <c r="K68" s="3"/>
      <c r="L68" s="3" t="s">
        <v>69</v>
      </c>
      <c r="M68" s="3"/>
      <c r="N68" s="3"/>
      <c r="O68" s="3"/>
      <c r="P68" s="4" t="s">
        <v>59</v>
      </c>
      <c r="Q68" s="4" t="s">
        <v>60</v>
      </c>
      <c r="R68" s="37"/>
      <c r="S68" s="37"/>
      <c r="T68" s="37"/>
    </row>
    <row r="69" spans="1:20">
      <c r="A69" s="133"/>
      <c r="B69" s="4" t="s">
        <v>97</v>
      </c>
      <c r="C69" s="3">
        <v>5</v>
      </c>
      <c r="D69" s="3" t="s">
        <v>474</v>
      </c>
      <c r="E69" s="3" t="s">
        <v>64</v>
      </c>
      <c r="F69" s="3" t="s">
        <v>65</v>
      </c>
      <c r="G69" s="3" t="s">
        <v>61</v>
      </c>
      <c r="H69" s="3"/>
      <c r="I69" s="3"/>
      <c r="J69" s="3"/>
      <c r="K69" s="3"/>
      <c r="L69" s="3" t="s">
        <v>69</v>
      </c>
      <c r="M69" s="4" t="s">
        <v>56</v>
      </c>
      <c r="N69" s="3"/>
      <c r="O69" s="3"/>
      <c r="P69" s="4" t="s">
        <v>59</v>
      </c>
      <c r="Q69" s="4" t="s">
        <v>60</v>
      </c>
      <c r="R69" s="37"/>
      <c r="S69" s="37"/>
      <c r="T69" s="37"/>
    </row>
    <row r="70" spans="1:20">
      <c r="A70" s="133"/>
      <c r="B70" s="4" t="s">
        <v>92</v>
      </c>
      <c r="C70" s="3">
        <v>5</v>
      </c>
      <c r="D70" s="3" t="s">
        <v>474</v>
      </c>
      <c r="E70" s="3"/>
      <c r="F70" s="3" t="s">
        <v>65</v>
      </c>
      <c r="G70" s="3"/>
      <c r="H70" s="3" t="s">
        <v>62</v>
      </c>
      <c r="I70" s="3" t="s">
        <v>66</v>
      </c>
      <c r="J70" s="3"/>
      <c r="K70" s="3"/>
      <c r="L70" s="3" t="s">
        <v>69</v>
      </c>
      <c r="M70" s="3"/>
      <c r="N70" s="4" t="s">
        <v>57</v>
      </c>
      <c r="O70" s="3"/>
      <c r="P70" s="4" t="s">
        <v>59</v>
      </c>
      <c r="Q70" s="4" t="s">
        <v>60</v>
      </c>
      <c r="R70" s="37"/>
      <c r="S70" s="37"/>
      <c r="T70" s="37"/>
    </row>
    <row r="71" spans="1:20">
      <c r="A71" s="133"/>
      <c r="B71" s="4" t="s">
        <v>89</v>
      </c>
      <c r="C71" s="3">
        <v>5</v>
      </c>
      <c r="D71" s="3" t="s">
        <v>475</v>
      </c>
      <c r="E71" s="3" t="s">
        <v>64</v>
      </c>
      <c r="F71" s="3"/>
      <c r="G71" s="3"/>
      <c r="H71" s="3"/>
      <c r="I71" s="3"/>
      <c r="J71" s="3" t="s">
        <v>63</v>
      </c>
      <c r="K71" s="3" t="s">
        <v>67</v>
      </c>
      <c r="L71" s="3"/>
      <c r="M71" s="3"/>
      <c r="N71" s="4" t="s">
        <v>57</v>
      </c>
      <c r="O71" s="4" t="s">
        <v>58</v>
      </c>
      <c r="P71" s="4" t="s">
        <v>59</v>
      </c>
      <c r="Q71" s="4" t="s">
        <v>60</v>
      </c>
      <c r="R71" s="37"/>
      <c r="S71" s="37"/>
      <c r="T71" s="37"/>
    </row>
    <row r="72" spans="1:20">
      <c r="A72" s="133"/>
      <c r="B72" s="4" t="s">
        <v>480</v>
      </c>
      <c r="C72" s="3">
        <v>5</v>
      </c>
      <c r="D72" s="3" t="s">
        <v>472</v>
      </c>
      <c r="E72" s="3"/>
      <c r="F72" s="3"/>
      <c r="G72" s="3" t="s">
        <v>61</v>
      </c>
      <c r="H72" s="3"/>
      <c r="I72" s="3" t="s">
        <v>66</v>
      </c>
      <c r="J72" s="3" t="s">
        <v>63</v>
      </c>
      <c r="K72" s="3"/>
      <c r="L72" s="3"/>
      <c r="M72" s="4" t="s">
        <v>56</v>
      </c>
      <c r="N72" s="4" t="s">
        <v>57</v>
      </c>
      <c r="O72" s="4" t="s">
        <v>58</v>
      </c>
      <c r="P72" s="3"/>
      <c r="Q72" s="4" t="s">
        <v>60</v>
      </c>
      <c r="R72" s="37"/>
      <c r="S72" s="37"/>
      <c r="T72" s="37"/>
    </row>
    <row r="73" spans="1:20">
      <c r="A73" s="133"/>
      <c r="B73" s="4" t="s">
        <v>880</v>
      </c>
      <c r="C73" s="3">
        <v>5</v>
      </c>
      <c r="D73" s="3" t="s">
        <v>472</v>
      </c>
      <c r="E73" s="3"/>
      <c r="F73" s="3" t="s">
        <v>65</v>
      </c>
      <c r="G73" s="3" t="s">
        <v>61</v>
      </c>
      <c r="H73" s="3" t="s">
        <v>62</v>
      </c>
      <c r="I73" s="3"/>
      <c r="J73" s="3" t="s">
        <v>63</v>
      </c>
      <c r="K73" s="3"/>
      <c r="L73" s="3"/>
      <c r="M73" s="3"/>
      <c r="N73" s="4" t="s">
        <v>57</v>
      </c>
      <c r="O73" s="3"/>
      <c r="P73" s="4" t="s">
        <v>59</v>
      </c>
      <c r="Q73" s="4" t="s">
        <v>60</v>
      </c>
      <c r="R73" s="37"/>
      <c r="S73" s="37"/>
      <c r="T73" s="37"/>
    </row>
    <row r="74" spans="1:20">
      <c r="A74" s="133"/>
      <c r="B74" s="4" t="s">
        <v>3854</v>
      </c>
      <c r="C74" s="3">
        <v>5</v>
      </c>
      <c r="D74" s="3" t="s">
        <v>478</v>
      </c>
      <c r="E74" s="3" t="s">
        <v>64</v>
      </c>
      <c r="F74" s="3"/>
      <c r="G74" s="3" t="s">
        <v>61</v>
      </c>
      <c r="H74" s="3"/>
      <c r="I74" s="3"/>
      <c r="J74" s="3"/>
      <c r="K74" s="3" t="s">
        <v>67</v>
      </c>
      <c r="L74" s="3" t="s">
        <v>69</v>
      </c>
      <c r="M74" s="4" t="s">
        <v>56</v>
      </c>
      <c r="N74" s="3"/>
      <c r="O74" s="3"/>
      <c r="P74" s="4" t="s">
        <v>59</v>
      </c>
      <c r="Q74" s="4" t="s">
        <v>60</v>
      </c>
      <c r="R74" s="37"/>
      <c r="S74" s="37"/>
      <c r="T74" s="37"/>
    </row>
    <row r="75" spans="1:20">
      <c r="A75" s="133"/>
      <c r="B75" s="4" t="s">
        <v>90</v>
      </c>
      <c r="C75" s="3">
        <v>5</v>
      </c>
      <c r="D75" s="3" t="s">
        <v>478</v>
      </c>
      <c r="E75" s="3" t="s">
        <v>64</v>
      </c>
      <c r="F75" s="3"/>
      <c r="G75" s="3" t="s">
        <v>61</v>
      </c>
      <c r="H75" s="3" t="s">
        <v>62</v>
      </c>
      <c r="I75" s="3"/>
      <c r="J75" s="3"/>
      <c r="K75" s="3" t="s">
        <v>67</v>
      </c>
      <c r="L75" s="3" t="s">
        <v>69</v>
      </c>
      <c r="M75" s="4" t="s">
        <v>56</v>
      </c>
      <c r="N75" s="3"/>
      <c r="O75" s="3"/>
      <c r="P75" s="3"/>
      <c r="Q75" s="4" t="s">
        <v>60</v>
      </c>
      <c r="R75" s="37"/>
      <c r="S75" s="37"/>
      <c r="T75" s="37"/>
    </row>
    <row r="76" spans="1:20">
      <c r="A76" s="133" t="s">
        <v>508</v>
      </c>
      <c r="B76" s="4" t="s">
        <v>75</v>
      </c>
      <c r="C76" s="3">
        <v>4</v>
      </c>
      <c r="D76" s="3" t="s">
        <v>474</v>
      </c>
      <c r="E76" s="3" t="s">
        <v>64</v>
      </c>
      <c r="F76" s="3" t="s">
        <v>65</v>
      </c>
      <c r="G76" s="3" t="s">
        <v>61</v>
      </c>
      <c r="H76" s="3"/>
      <c r="I76" s="3"/>
      <c r="J76" s="3"/>
      <c r="K76" s="3"/>
      <c r="L76" s="3" t="s">
        <v>69</v>
      </c>
      <c r="M76" s="3"/>
      <c r="N76" s="4" t="s">
        <v>57</v>
      </c>
      <c r="O76" s="3"/>
      <c r="P76" s="3"/>
      <c r="Q76" s="4" t="s">
        <v>60</v>
      </c>
      <c r="R76" s="37"/>
      <c r="S76" s="37"/>
      <c r="T76" s="37"/>
    </row>
    <row r="77" spans="1:20">
      <c r="A77" s="133"/>
      <c r="B77" s="4" t="s">
        <v>493</v>
      </c>
      <c r="C77" s="3">
        <v>4</v>
      </c>
      <c r="D77" s="3" t="s">
        <v>472</v>
      </c>
      <c r="E77" s="3" t="s">
        <v>64</v>
      </c>
      <c r="F77" s="3" t="s">
        <v>65</v>
      </c>
      <c r="G77" s="3" t="s">
        <v>61</v>
      </c>
      <c r="H77" s="3"/>
      <c r="I77" s="3"/>
      <c r="J77" s="3"/>
      <c r="K77" s="3"/>
      <c r="L77" s="3"/>
      <c r="M77" s="4" t="s">
        <v>56</v>
      </c>
      <c r="N77" s="3"/>
      <c r="O77" s="3"/>
      <c r="P77" s="4" t="s">
        <v>59</v>
      </c>
      <c r="Q77" s="4" t="s">
        <v>60</v>
      </c>
      <c r="R77" s="37"/>
      <c r="S77" s="37"/>
      <c r="T77" s="37"/>
    </row>
    <row r="78" spans="1:20">
      <c r="A78" s="133"/>
      <c r="B78" s="4" t="s">
        <v>72</v>
      </c>
      <c r="C78" s="3">
        <v>4</v>
      </c>
      <c r="D78" s="3" t="s">
        <v>474</v>
      </c>
      <c r="E78" s="3" t="s">
        <v>64</v>
      </c>
      <c r="F78" s="3" t="s">
        <v>65</v>
      </c>
      <c r="G78" s="3"/>
      <c r="H78" s="3"/>
      <c r="I78" s="3" t="s">
        <v>66</v>
      </c>
      <c r="J78" s="3"/>
      <c r="K78" s="3"/>
      <c r="L78" s="3" t="s">
        <v>69</v>
      </c>
      <c r="M78" s="3"/>
      <c r="N78" s="3"/>
      <c r="O78" s="3"/>
      <c r="P78" s="4" t="s">
        <v>59</v>
      </c>
      <c r="Q78" s="4" t="s">
        <v>60</v>
      </c>
      <c r="R78" s="37"/>
      <c r="S78" s="37"/>
      <c r="T78" s="37"/>
    </row>
    <row r="79" spans="1:20">
      <c r="A79" s="133"/>
      <c r="B79" s="4" t="s">
        <v>37</v>
      </c>
      <c r="C79" s="3">
        <v>4</v>
      </c>
      <c r="D79" s="3" t="s">
        <v>474</v>
      </c>
      <c r="E79" s="3"/>
      <c r="F79" s="3" t="s">
        <v>65</v>
      </c>
      <c r="G79" s="3"/>
      <c r="H79" s="3"/>
      <c r="I79" s="3" t="s">
        <v>66</v>
      </c>
      <c r="J79" s="3"/>
      <c r="K79" s="3" t="s">
        <v>67</v>
      </c>
      <c r="L79" s="3" t="s">
        <v>69</v>
      </c>
      <c r="M79" s="3"/>
      <c r="N79" s="3"/>
      <c r="O79" s="3"/>
      <c r="P79" s="4" t="s">
        <v>59</v>
      </c>
      <c r="Q79" s="4" t="s">
        <v>60</v>
      </c>
      <c r="R79" s="37"/>
      <c r="S79" s="37"/>
      <c r="T79" s="37"/>
    </row>
    <row r="80" spans="1:20">
      <c r="A80" s="133"/>
      <c r="B80" s="4" t="s">
        <v>68</v>
      </c>
      <c r="C80" s="3">
        <v>4</v>
      </c>
      <c r="D80" s="3" t="s">
        <v>474</v>
      </c>
      <c r="E80" s="3"/>
      <c r="F80" s="3" t="s">
        <v>65</v>
      </c>
      <c r="G80" s="3" t="s">
        <v>61</v>
      </c>
      <c r="H80" s="3"/>
      <c r="I80" s="3"/>
      <c r="J80" s="3"/>
      <c r="K80" s="3" t="s">
        <v>67</v>
      </c>
      <c r="L80" s="3" t="s">
        <v>69</v>
      </c>
      <c r="M80" s="3"/>
      <c r="N80" s="4" t="s">
        <v>57</v>
      </c>
      <c r="O80" s="3"/>
      <c r="P80" s="3"/>
      <c r="Q80" s="4" t="s">
        <v>60</v>
      </c>
      <c r="R80" s="37"/>
      <c r="S80" s="37"/>
      <c r="T80" s="37"/>
    </row>
    <row r="81" spans="1:20">
      <c r="A81" s="133"/>
      <c r="B81" s="4" t="s">
        <v>79</v>
      </c>
      <c r="C81" s="3">
        <v>4</v>
      </c>
      <c r="D81" s="3" t="s">
        <v>478</v>
      </c>
      <c r="E81" s="3" t="s">
        <v>64</v>
      </c>
      <c r="F81" s="3"/>
      <c r="G81" s="3"/>
      <c r="H81" s="3" t="s">
        <v>62</v>
      </c>
      <c r="I81" s="3"/>
      <c r="J81" s="3"/>
      <c r="K81" s="3"/>
      <c r="L81" s="3"/>
      <c r="M81" s="4" t="s">
        <v>56</v>
      </c>
      <c r="N81" s="3"/>
      <c r="O81" s="4" t="s">
        <v>58</v>
      </c>
      <c r="P81" s="4" t="s">
        <v>59</v>
      </c>
      <c r="Q81" s="4" t="s">
        <v>60</v>
      </c>
      <c r="R81" s="37"/>
      <c r="S81" s="37"/>
      <c r="T81" s="37"/>
    </row>
    <row r="82" spans="1:20">
      <c r="A82" s="133"/>
      <c r="B82" s="4" t="s">
        <v>71</v>
      </c>
      <c r="C82" s="3">
        <v>4</v>
      </c>
      <c r="D82" s="3" t="s">
        <v>475</v>
      </c>
      <c r="E82" s="3"/>
      <c r="F82" s="3"/>
      <c r="G82" s="3"/>
      <c r="H82" s="3" t="s">
        <v>62</v>
      </c>
      <c r="I82" s="3" t="s">
        <v>66</v>
      </c>
      <c r="J82" s="3"/>
      <c r="K82" s="3"/>
      <c r="L82" s="3" t="s">
        <v>69</v>
      </c>
      <c r="M82" s="4" t="s">
        <v>56</v>
      </c>
      <c r="N82" s="3"/>
      <c r="O82" s="4" t="s">
        <v>58</v>
      </c>
      <c r="P82" s="3"/>
      <c r="Q82" s="4" t="s">
        <v>60</v>
      </c>
      <c r="R82" s="37"/>
      <c r="S82" s="37"/>
      <c r="T82" s="37"/>
    </row>
    <row r="83" spans="1:20">
      <c r="A83" s="133"/>
      <c r="B83" s="4" t="s">
        <v>479</v>
      </c>
      <c r="C83" s="3">
        <v>4</v>
      </c>
      <c r="D83" s="3" t="s">
        <v>474</v>
      </c>
      <c r="E83" s="3" t="s">
        <v>64</v>
      </c>
      <c r="F83" s="3"/>
      <c r="G83" s="3"/>
      <c r="H83" s="3"/>
      <c r="I83" s="3"/>
      <c r="J83" s="3" t="s">
        <v>63</v>
      </c>
      <c r="K83" s="3"/>
      <c r="L83" s="3" t="s">
        <v>69</v>
      </c>
      <c r="M83" s="4" t="s">
        <v>56</v>
      </c>
      <c r="N83" s="3"/>
      <c r="O83" s="4" t="s">
        <v>58</v>
      </c>
      <c r="P83" s="3"/>
      <c r="Q83" s="4" t="s">
        <v>60</v>
      </c>
      <c r="R83" s="37"/>
      <c r="S83" s="37"/>
      <c r="T83" s="37"/>
    </row>
    <row r="84" spans="1:20">
      <c r="A84" s="133"/>
      <c r="B84" s="4" t="s">
        <v>95</v>
      </c>
      <c r="C84" s="3">
        <v>4</v>
      </c>
      <c r="D84" s="3" t="s">
        <v>475</v>
      </c>
      <c r="E84" s="3"/>
      <c r="F84" s="3"/>
      <c r="G84" s="3" t="s">
        <v>61</v>
      </c>
      <c r="H84" s="3" t="s">
        <v>62</v>
      </c>
      <c r="I84" s="3"/>
      <c r="J84" s="3"/>
      <c r="K84" s="3" t="s">
        <v>67</v>
      </c>
      <c r="L84" s="3"/>
      <c r="M84" s="3"/>
      <c r="N84" s="4" t="s">
        <v>57</v>
      </c>
      <c r="O84" s="3"/>
      <c r="P84" s="4" t="s">
        <v>59</v>
      </c>
      <c r="Q84" s="4" t="s">
        <v>60</v>
      </c>
      <c r="R84" s="37"/>
      <c r="S84" s="37"/>
      <c r="T84" s="37"/>
    </row>
    <row r="85" spans="1:20">
      <c r="A85" s="133"/>
      <c r="B85" s="4" t="s">
        <v>3462</v>
      </c>
      <c r="C85" s="3">
        <v>4</v>
      </c>
      <c r="D85" s="3" t="s">
        <v>472</v>
      </c>
      <c r="E85" s="3" t="s">
        <v>64</v>
      </c>
      <c r="F85" s="3" t="s">
        <v>65</v>
      </c>
      <c r="G85" s="3" t="s">
        <v>61</v>
      </c>
      <c r="H85" s="3"/>
      <c r="I85" s="3"/>
      <c r="J85" s="3"/>
      <c r="K85" s="3"/>
      <c r="L85" s="3" t="s">
        <v>69</v>
      </c>
      <c r="M85" s="3"/>
      <c r="N85" s="4" t="s">
        <v>57</v>
      </c>
      <c r="O85" s="3"/>
      <c r="P85" s="3"/>
      <c r="Q85" s="4" t="s">
        <v>60</v>
      </c>
      <c r="R85" s="37"/>
      <c r="S85" s="37"/>
      <c r="T85" s="37"/>
    </row>
    <row r="86" spans="1:20">
      <c r="A86" s="133"/>
      <c r="B86" s="4" t="s">
        <v>87</v>
      </c>
      <c r="C86" s="3">
        <v>6</v>
      </c>
      <c r="D86" s="3" t="s">
        <v>472</v>
      </c>
      <c r="E86" s="3" t="s">
        <v>64</v>
      </c>
      <c r="F86" s="3" t="s">
        <v>65</v>
      </c>
      <c r="G86" s="3" t="s">
        <v>61</v>
      </c>
      <c r="H86" s="3"/>
      <c r="I86" s="3"/>
      <c r="J86" s="3" t="s">
        <v>63</v>
      </c>
      <c r="K86" s="3"/>
      <c r="L86" s="3"/>
      <c r="M86" s="3"/>
      <c r="N86" s="4" t="s">
        <v>57</v>
      </c>
      <c r="O86" s="4" t="s">
        <v>58</v>
      </c>
      <c r="P86" s="4" t="s">
        <v>59</v>
      </c>
      <c r="Q86" s="4" t="s">
        <v>60</v>
      </c>
      <c r="R86" s="37"/>
      <c r="S86" s="37"/>
      <c r="T86" s="37"/>
    </row>
    <row r="87" spans="1:20">
      <c r="A87" s="133"/>
      <c r="B87" s="4" t="s">
        <v>498</v>
      </c>
      <c r="C87" s="3">
        <v>6</v>
      </c>
      <c r="D87" s="3" t="s">
        <v>475</v>
      </c>
      <c r="E87" s="3" t="s">
        <v>64</v>
      </c>
      <c r="F87" s="3" t="s">
        <v>65</v>
      </c>
      <c r="G87" s="3" t="s">
        <v>61</v>
      </c>
      <c r="H87" s="3"/>
      <c r="I87" s="3" t="s">
        <v>66</v>
      </c>
      <c r="J87" s="3" t="s">
        <v>63</v>
      </c>
      <c r="K87" s="3"/>
      <c r="L87" s="3" t="s">
        <v>69</v>
      </c>
      <c r="M87" s="3"/>
      <c r="N87" s="4" t="s">
        <v>57</v>
      </c>
      <c r="O87" s="4"/>
      <c r="P87" s="3"/>
      <c r="Q87" s="4" t="s">
        <v>60</v>
      </c>
      <c r="R87" s="37"/>
      <c r="S87" s="37"/>
      <c r="T87" s="37"/>
    </row>
    <row r="88" spans="1:20">
      <c r="A88" s="133"/>
      <c r="B88" s="4" t="s">
        <v>499</v>
      </c>
      <c r="C88" s="3">
        <v>6</v>
      </c>
      <c r="D88" s="3" t="s">
        <v>475</v>
      </c>
      <c r="E88" s="3" t="s">
        <v>64</v>
      </c>
      <c r="F88" s="3" t="s">
        <v>65</v>
      </c>
      <c r="G88" s="3" t="s">
        <v>61</v>
      </c>
      <c r="H88" s="3"/>
      <c r="I88" s="3"/>
      <c r="J88" s="3"/>
      <c r="K88" s="3"/>
      <c r="L88" s="3" t="s">
        <v>69</v>
      </c>
      <c r="M88" s="3"/>
      <c r="N88" s="4" t="s">
        <v>57</v>
      </c>
      <c r="O88" s="4" t="s">
        <v>58</v>
      </c>
      <c r="P88" s="4" t="s">
        <v>59</v>
      </c>
      <c r="Q88" s="4" t="s">
        <v>60</v>
      </c>
      <c r="R88" s="37"/>
      <c r="S88" s="37"/>
      <c r="T88" s="37"/>
    </row>
    <row r="89" spans="1:20">
      <c r="A89" s="133"/>
      <c r="B89" s="4" t="s">
        <v>2470</v>
      </c>
      <c r="C89" s="3">
        <v>2</v>
      </c>
      <c r="D89" s="3" t="s">
        <v>2492</v>
      </c>
      <c r="E89" s="3"/>
      <c r="F89" s="3"/>
      <c r="G89" s="3"/>
      <c r="H89" s="3"/>
      <c r="I89" s="3"/>
      <c r="J89" s="3"/>
      <c r="K89" s="3"/>
      <c r="L89" s="3"/>
      <c r="M89" s="3"/>
      <c r="N89" s="4"/>
      <c r="O89" s="4"/>
      <c r="P89" s="4"/>
      <c r="Q89" s="4"/>
      <c r="R89" s="37"/>
      <c r="S89" s="37"/>
      <c r="T89" s="37"/>
    </row>
    <row r="90" spans="1:20">
      <c r="A90" s="133"/>
      <c r="B90" s="4" t="s">
        <v>2493</v>
      </c>
      <c r="C90" s="3">
        <v>2</v>
      </c>
      <c r="D90" s="3" t="s">
        <v>2492</v>
      </c>
      <c r="E90" s="3"/>
      <c r="F90" s="3"/>
      <c r="G90" s="3"/>
      <c r="H90" s="3"/>
      <c r="I90" s="3"/>
      <c r="J90" s="3"/>
      <c r="K90" s="3"/>
      <c r="L90" s="3"/>
      <c r="M90" s="3"/>
      <c r="N90" s="4"/>
      <c r="O90" s="4"/>
      <c r="P90" s="4"/>
      <c r="Q90" s="4"/>
      <c r="R90" s="37"/>
      <c r="S90" s="37"/>
      <c r="T90" s="37"/>
    </row>
    <row r="91" spans="1:20">
      <c r="A91" s="133" t="s">
        <v>509</v>
      </c>
      <c r="B91" s="4" t="s">
        <v>884</v>
      </c>
      <c r="C91" s="3">
        <v>4</v>
      </c>
      <c r="D91" s="3" t="s">
        <v>471</v>
      </c>
      <c r="E91" s="3"/>
      <c r="F91" s="3" t="s">
        <v>65</v>
      </c>
      <c r="G91" s="3"/>
      <c r="H91" s="3" t="s">
        <v>62</v>
      </c>
      <c r="I91" s="3" t="s">
        <v>66</v>
      </c>
      <c r="J91" s="3"/>
      <c r="K91" s="3"/>
      <c r="L91" s="3" t="s">
        <v>69</v>
      </c>
      <c r="M91" s="3"/>
      <c r="N91" s="4" t="s">
        <v>57</v>
      </c>
      <c r="O91" s="3"/>
      <c r="P91" s="3"/>
      <c r="Q91" s="4" t="s">
        <v>60</v>
      </c>
      <c r="R91" s="37"/>
      <c r="S91" s="37"/>
      <c r="T91" s="37"/>
    </row>
    <row r="92" spans="1:20">
      <c r="A92" s="133"/>
      <c r="B92" s="4" t="s">
        <v>490</v>
      </c>
      <c r="C92" s="3">
        <v>4</v>
      </c>
      <c r="D92" s="3" t="s">
        <v>478</v>
      </c>
      <c r="E92" s="3" t="s">
        <v>64</v>
      </c>
      <c r="F92" s="3" t="s">
        <v>65</v>
      </c>
      <c r="G92" s="3" t="s">
        <v>61</v>
      </c>
      <c r="H92" s="3"/>
      <c r="I92" s="3"/>
      <c r="J92" s="3"/>
      <c r="K92" s="3" t="s">
        <v>67</v>
      </c>
      <c r="L92" s="3"/>
      <c r="M92" s="4" t="s">
        <v>56</v>
      </c>
      <c r="N92" s="3"/>
      <c r="O92" s="3"/>
      <c r="P92" s="3"/>
      <c r="Q92" s="4" t="s">
        <v>60</v>
      </c>
      <c r="R92" s="37"/>
      <c r="S92" s="37"/>
      <c r="T92" s="37"/>
    </row>
    <row r="93" spans="1:20">
      <c r="A93" s="133"/>
      <c r="B93" s="4" t="s">
        <v>885</v>
      </c>
      <c r="C93" s="3">
        <v>4</v>
      </c>
      <c r="D93" s="3" t="s">
        <v>475</v>
      </c>
      <c r="E93" s="3"/>
      <c r="F93" s="3" t="s">
        <v>65</v>
      </c>
      <c r="G93" s="3"/>
      <c r="H93" s="3"/>
      <c r="I93" s="3"/>
      <c r="J93" s="3" t="s">
        <v>63</v>
      </c>
      <c r="K93" s="3" t="s">
        <v>67</v>
      </c>
      <c r="L93" s="3"/>
      <c r="M93" s="4" t="s">
        <v>56</v>
      </c>
      <c r="N93" s="3"/>
      <c r="O93" s="3"/>
      <c r="P93" s="4" t="s">
        <v>59</v>
      </c>
      <c r="Q93" s="4" t="s">
        <v>60</v>
      </c>
      <c r="R93" s="37"/>
      <c r="S93" s="37"/>
      <c r="T93" s="37"/>
    </row>
    <row r="94" spans="1:20">
      <c r="A94" s="133"/>
      <c r="B94" s="4" t="s">
        <v>486</v>
      </c>
      <c r="C94" s="3">
        <v>4</v>
      </c>
      <c r="D94" s="3" t="s">
        <v>474</v>
      </c>
      <c r="E94" s="3"/>
      <c r="F94" s="3" t="s">
        <v>65</v>
      </c>
      <c r="G94" s="3"/>
      <c r="H94" s="3"/>
      <c r="I94" s="3"/>
      <c r="J94" s="3"/>
      <c r="K94" s="3"/>
      <c r="L94" s="3" t="s">
        <v>69</v>
      </c>
      <c r="M94" s="4" t="s">
        <v>56</v>
      </c>
      <c r="N94" s="4" t="s">
        <v>57</v>
      </c>
      <c r="O94" s="4" t="s">
        <v>58</v>
      </c>
      <c r="P94" s="3"/>
      <c r="Q94" s="4" t="s">
        <v>60</v>
      </c>
      <c r="R94" s="37"/>
      <c r="S94" s="37"/>
      <c r="T94" s="37"/>
    </row>
    <row r="95" spans="1:20">
      <c r="A95" s="133"/>
      <c r="B95" s="4" t="s">
        <v>477</v>
      </c>
      <c r="C95" s="3">
        <v>4</v>
      </c>
      <c r="D95" s="3" t="s">
        <v>472</v>
      </c>
      <c r="E95" s="3" t="s">
        <v>64</v>
      </c>
      <c r="F95" s="3"/>
      <c r="G95" s="3" t="s">
        <v>61</v>
      </c>
      <c r="H95" s="3"/>
      <c r="I95" s="3"/>
      <c r="J95" s="3"/>
      <c r="K95" s="3"/>
      <c r="L95" s="3" t="s">
        <v>69</v>
      </c>
      <c r="M95" s="4" t="s">
        <v>56</v>
      </c>
      <c r="N95" s="4" t="s">
        <v>57</v>
      </c>
      <c r="O95" s="3"/>
      <c r="P95" s="3"/>
      <c r="Q95" s="4" t="s">
        <v>60</v>
      </c>
      <c r="R95" s="37"/>
      <c r="S95" s="37"/>
      <c r="T95" s="37"/>
    </row>
    <row r="96" spans="1:20">
      <c r="A96" s="132" t="s">
        <v>510</v>
      </c>
      <c r="B96" s="4" t="s">
        <v>481</v>
      </c>
      <c r="C96" s="3">
        <v>4</v>
      </c>
      <c r="D96" s="3" t="s">
        <v>475</v>
      </c>
      <c r="E96" s="3"/>
      <c r="F96" s="3" t="s">
        <v>65</v>
      </c>
      <c r="G96" s="3"/>
      <c r="H96" s="3"/>
      <c r="I96" s="3" t="s">
        <v>66</v>
      </c>
      <c r="J96" s="3" t="s">
        <v>63</v>
      </c>
      <c r="K96" s="3" t="s">
        <v>67</v>
      </c>
      <c r="L96" s="3" t="s">
        <v>69</v>
      </c>
      <c r="M96" s="3"/>
      <c r="N96" s="4" t="s">
        <v>57</v>
      </c>
      <c r="O96" s="4" t="s">
        <v>58</v>
      </c>
      <c r="P96" s="3"/>
      <c r="Q96" s="4"/>
      <c r="R96" s="37"/>
      <c r="S96" s="37"/>
      <c r="T96" s="37"/>
    </row>
    <row r="97" spans="1:20">
      <c r="A97" s="132"/>
      <c r="B97" s="4" t="s">
        <v>473</v>
      </c>
      <c r="C97" s="3">
        <v>5</v>
      </c>
      <c r="D97" s="3" t="s">
        <v>474</v>
      </c>
      <c r="E97" s="3" t="s">
        <v>64</v>
      </c>
      <c r="F97" s="3" t="s">
        <v>65</v>
      </c>
      <c r="G97" s="3" t="s">
        <v>61</v>
      </c>
      <c r="H97" s="3"/>
      <c r="I97" s="3"/>
      <c r="J97" s="3"/>
      <c r="K97" s="3"/>
      <c r="L97" s="3" t="s">
        <v>69</v>
      </c>
      <c r="M97" s="4" t="s">
        <v>56</v>
      </c>
      <c r="N97" s="3"/>
      <c r="O97" s="3"/>
      <c r="P97" s="4" t="s">
        <v>59</v>
      </c>
      <c r="Q97" s="4" t="s">
        <v>60</v>
      </c>
      <c r="R97" s="37"/>
      <c r="S97" s="37"/>
      <c r="T97" s="37"/>
    </row>
    <row r="98" spans="1:20">
      <c r="A98" s="132"/>
      <c r="B98" s="4" t="s">
        <v>482</v>
      </c>
      <c r="C98" s="3">
        <v>4</v>
      </c>
      <c r="D98" s="3" t="s">
        <v>472</v>
      </c>
      <c r="E98" s="3"/>
      <c r="F98" s="3" t="s">
        <v>65</v>
      </c>
      <c r="G98" s="3" t="s">
        <v>61</v>
      </c>
      <c r="H98" s="3" t="s">
        <v>62</v>
      </c>
      <c r="I98" s="3"/>
      <c r="J98" s="3"/>
      <c r="K98" s="3"/>
      <c r="L98" s="3" t="s">
        <v>69</v>
      </c>
      <c r="M98" s="3"/>
      <c r="N98" s="4" t="s">
        <v>57</v>
      </c>
      <c r="O98" s="4" t="s">
        <v>58</v>
      </c>
      <c r="P98" s="3"/>
      <c r="Q98" s="4" t="s">
        <v>60</v>
      </c>
      <c r="R98" s="37"/>
      <c r="S98" s="37"/>
      <c r="T98" s="37"/>
    </row>
    <row r="99" spans="1:20">
      <c r="A99" s="132"/>
      <c r="B99" s="4" t="s">
        <v>500</v>
      </c>
      <c r="C99" s="3">
        <v>6</v>
      </c>
      <c r="D99" s="3" t="s">
        <v>478</v>
      </c>
      <c r="E99" s="3"/>
      <c r="F99" s="3"/>
      <c r="G99" s="3"/>
      <c r="H99" s="3" t="s">
        <v>62</v>
      </c>
      <c r="I99" s="3" t="s">
        <v>66</v>
      </c>
      <c r="J99" s="3"/>
      <c r="K99" s="3" t="s">
        <v>67</v>
      </c>
      <c r="L99" s="3"/>
      <c r="M99" s="4" t="s">
        <v>56</v>
      </c>
      <c r="N99" s="4" t="s">
        <v>57</v>
      </c>
      <c r="O99" s="4" t="s">
        <v>58</v>
      </c>
      <c r="P99" s="4" t="s">
        <v>59</v>
      </c>
      <c r="Q99" s="4" t="s">
        <v>60</v>
      </c>
      <c r="R99" s="37"/>
      <c r="S99" s="37"/>
      <c r="T99" s="37"/>
    </row>
    <row r="100" spans="1:20">
      <c r="A100" s="132" t="s">
        <v>2239</v>
      </c>
      <c r="B100" s="6" t="s">
        <v>2241</v>
      </c>
      <c r="C100" s="6">
        <v>5</v>
      </c>
      <c r="D100" s="3" t="s">
        <v>472</v>
      </c>
      <c r="E100" s="3" t="s">
        <v>48</v>
      </c>
      <c r="F100" s="3" t="s">
        <v>65</v>
      </c>
      <c r="G100" s="3" t="s">
        <v>61</v>
      </c>
      <c r="H100" s="6"/>
      <c r="I100" s="3" t="s">
        <v>66</v>
      </c>
      <c r="J100" s="3"/>
      <c r="K100" s="3" t="s">
        <v>67</v>
      </c>
      <c r="L100" s="6"/>
      <c r="M100" s="4" t="s">
        <v>56</v>
      </c>
      <c r="N100" s="6"/>
      <c r="O100" s="6"/>
      <c r="P100" s="4" t="s">
        <v>59</v>
      </c>
      <c r="Q100" s="4" t="s">
        <v>60</v>
      </c>
      <c r="R100" s="4"/>
      <c r="S100" s="4" t="s">
        <v>2249</v>
      </c>
      <c r="T100" s="4"/>
    </row>
    <row r="101" spans="1:20">
      <c r="A101" s="132"/>
      <c r="B101" s="6" t="s">
        <v>2244</v>
      </c>
      <c r="C101" s="6">
        <v>5</v>
      </c>
      <c r="D101" s="3" t="s">
        <v>474</v>
      </c>
      <c r="E101" s="3" t="s">
        <v>64</v>
      </c>
      <c r="F101" s="3" t="s">
        <v>65</v>
      </c>
      <c r="G101" s="3" t="s">
        <v>61</v>
      </c>
      <c r="H101" s="3" t="s">
        <v>62</v>
      </c>
      <c r="I101" s="3" t="s">
        <v>66</v>
      </c>
      <c r="J101" s="6"/>
      <c r="K101" s="6"/>
      <c r="L101" s="3" t="s">
        <v>69</v>
      </c>
      <c r="M101" s="4" t="s">
        <v>56</v>
      </c>
      <c r="N101" s="4" t="s">
        <v>57</v>
      </c>
      <c r="O101" s="6"/>
      <c r="P101" s="6"/>
      <c r="Q101" s="6"/>
      <c r="R101" s="4"/>
      <c r="S101" s="4"/>
      <c r="T101" s="4" t="s">
        <v>2250</v>
      </c>
    </row>
    <row r="102" spans="1:20">
      <c r="A102" s="132"/>
      <c r="B102" s="6" t="s">
        <v>2246</v>
      </c>
      <c r="C102" s="6">
        <v>5</v>
      </c>
      <c r="D102" s="3" t="s">
        <v>474</v>
      </c>
      <c r="E102" s="3" t="s">
        <v>64</v>
      </c>
      <c r="F102" s="3" t="s">
        <v>65</v>
      </c>
      <c r="G102" s="6"/>
      <c r="H102" s="6"/>
      <c r="I102" s="6"/>
      <c r="J102" s="3" t="s">
        <v>63</v>
      </c>
      <c r="K102" s="6"/>
      <c r="L102" s="3" t="s">
        <v>69</v>
      </c>
      <c r="M102" s="6"/>
      <c r="N102" s="4" t="s">
        <v>57</v>
      </c>
      <c r="O102" s="4" t="s">
        <v>58</v>
      </c>
      <c r="P102" s="4" t="s">
        <v>59</v>
      </c>
      <c r="Q102" s="4" t="s">
        <v>60</v>
      </c>
      <c r="R102" s="4"/>
      <c r="S102" s="4" t="s">
        <v>2249</v>
      </c>
      <c r="T102" s="4" t="s">
        <v>2250</v>
      </c>
    </row>
    <row r="103" spans="1:20">
      <c r="A103" s="132"/>
      <c r="B103" s="6" t="s">
        <v>2243</v>
      </c>
      <c r="C103" s="6">
        <v>5</v>
      </c>
      <c r="D103" s="3" t="s">
        <v>475</v>
      </c>
      <c r="E103" s="3" t="s">
        <v>64</v>
      </c>
      <c r="F103" s="6"/>
      <c r="G103" s="3" t="s">
        <v>61</v>
      </c>
      <c r="H103" s="3" t="s">
        <v>62</v>
      </c>
      <c r="I103" s="6"/>
      <c r="J103" s="3" t="s">
        <v>63</v>
      </c>
      <c r="K103" s="6"/>
      <c r="L103" s="3" t="s">
        <v>69</v>
      </c>
      <c r="M103" s="4" t="s">
        <v>56</v>
      </c>
      <c r="N103" s="6"/>
      <c r="O103" s="4" t="s">
        <v>58</v>
      </c>
      <c r="P103" s="6"/>
      <c r="Q103" s="4" t="s">
        <v>60</v>
      </c>
      <c r="R103" s="4"/>
      <c r="S103" s="4"/>
      <c r="T103" s="4" t="s">
        <v>2250</v>
      </c>
    </row>
    <row r="104" spans="1:20">
      <c r="A104" s="132"/>
      <c r="B104" s="6" t="s">
        <v>2242</v>
      </c>
      <c r="C104" s="6">
        <v>5</v>
      </c>
      <c r="D104" s="3" t="s">
        <v>475</v>
      </c>
      <c r="E104" s="3" t="s">
        <v>64</v>
      </c>
      <c r="F104" s="6"/>
      <c r="G104" s="3" t="s">
        <v>61</v>
      </c>
      <c r="H104" s="6"/>
      <c r="I104" s="3" t="s">
        <v>66</v>
      </c>
      <c r="J104" s="3" t="s">
        <v>63</v>
      </c>
      <c r="K104" s="3" t="s">
        <v>67</v>
      </c>
      <c r="L104" s="6"/>
      <c r="M104" s="4" t="s">
        <v>56</v>
      </c>
      <c r="N104" s="4" t="s">
        <v>57</v>
      </c>
      <c r="O104" s="6"/>
      <c r="P104" s="6"/>
      <c r="Q104" s="4" t="s">
        <v>60</v>
      </c>
      <c r="R104" s="4" t="s">
        <v>2248</v>
      </c>
      <c r="S104" s="4"/>
      <c r="T104" s="4"/>
    </row>
    <row r="105" spans="1:20">
      <c r="A105" s="132"/>
      <c r="B105" s="6" t="s">
        <v>2240</v>
      </c>
      <c r="C105" s="6">
        <v>5</v>
      </c>
      <c r="D105" s="3" t="s">
        <v>478</v>
      </c>
      <c r="E105" s="6"/>
      <c r="F105" s="3" t="s">
        <v>65</v>
      </c>
      <c r="G105" s="6"/>
      <c r="H105" s="6"/>
      <c r="I105" s="3" t="s">
        <v>66</v>
      </c>
      <c r="J105" s="3" t="s">
        <v>63</v>
      </c>
      <c r="K105" s="6"/>
      <c r="L105" s="3" t="s">
        <v>69</v>
      </c>
      <c r="M105" s="4" t="s">
        <v>56</v>
      </c>
      <c r="N105" s="6"/>
      <c r="O105" s="4" t="s">
        <v>58</v>
      </c>
      <c r="P105" s="4" t="s">
        <v>59</v>
      </c>
      <c r="Q105" s="4" t="s">
        <v>60</v>
      </c>
      <c r="R105" s="4" t="s">
        <v>2248</v>
      </c>
      <c r="S105" s="4"/>
      <c r="T105" s="4"/>
    </row>
    <row r="106" spans="1:20">
      <c r="A106" s="132"/>
      <c r="B106" s="6" t="s">
        <v>2245</v>
      </c>
      <c r="C106" s="6">
        <v>5</v>
      </c>
      <c r="D106" s="3" t="s">
        <v>472</v>
      </c>
      <c r="E106" s="3" t="s">
        <v>64</v>
      </c>
      <c r="F106" s="3" t="s">
        <v>65</v>
      </c>
      <c r="G106" s="3" t="s">
        <v>61</v>
      </c>
      <c r="H106" s="6"/>
      <c r="I106" s="6"/>
      <c r="J106" s="3" t="s">
        <v>63</v>
      </c>
      <c r="K106" s="3" t="s">
        <v>67</v>
      </c>
      <c r="L106" s="6"/>
      <c r="M106" s="4" t="s">
        <v>56</v>
      </c>
      <c r="N106" s="4" t="s">
        <v>57</v>
      </c>
      <c r="O106" s="4" t="s">
        <v>58</v>
      </c>
      <c r="P106" s="6"/>
      <c r="Q106" s="6"/>
      <c r="R106" s="4"/>
      <c r="S106" s="4" t="s">
        <v>2249</v>
      </c>
      <c r="T106" s="4"/>
    </row>
    <row r="107" spans="1:20">
      <c r="A107" s="132"/>
      <c r="B107" s="6" t="s">
        <v>2247</v>
      </c>
      <c r="C107" s="6">
        <v>5</v>
      </c>
      <c r="D107" s="3" t="s">
        <v>471</v>
      </c>
      <c r="E107" s="6"/>
      <c r="F107" s="3" t="s">
        <v>65</v>
      </c>
      <c r="G107" s="6"/>
      <c r="H107" s="3" t="s">
        <v>62</v>
      </c>
      <c r="I107" s="3" t="s">
        <v>66</v>
      </c>
      <c r="J107" s="3" t="s">
        <v>63</v>
      </c>
      <c r="K107" s="6"/>
      <c r="L107" s="3" t="s">
        <v>69</v>
      </c>
      <c r="M107" s="4" t="s">
        <v>56</v>
      </c>
      <c r="N107" s="4" t="s">
        <v>57</v>
      </c>
      <c r="O107" s="6"/>
      <c r="P107" s="6"/>
      <c r="Q107" s="4" t="s">
        <v>60</v>
      </c>
      <c r="R107" s="4" t="s">
        <v>2248</v>
      </c>
      <c r="S107" s="4"/>
      <c r="T107" s="4"/>
    </row>
    <row r="108" spans="1:20">
      <c r="A108" s="132"/>
      <c r="B108" s="6" t="s">
        <v>1786</v>
      </c>
      <c r="C108" s="6">
        <v>6</v>
      </c>
      <c r="D108" s="3" t="s">
        <v>475</v>
      </c>
      <c r="E108" s="6"/>
      <c r="F108" s="3" t="s">
        <v>65</v>
      </c>
      <c r="G108" s="6"/>
      <c r="H108" s="3" t="s">
        <v>62</v>
      </c>
      <c r="I108" s="3" t="s">
        <v>66</v>
      </c>
      <c r="J108" s="3" t="s">
        <v>63</v>
      </c>
      <c r="K108" s="6"/>
      <c r="L108" s="3" t="s">
        <v>69</v>
      </c>
      <c r="M108" s="4" t="s">
        <v>56</v>
      </c>
      <c r="N108" s="4" t="s">
        <v>57</v>
      </c>
      <c r="O108" s="6"/>
      <c r="P108" s="6"/>
      <c r="Q108" s="4" t="s">
        <v>60</v>
      </c>
      <c r="R108" s="4"/>
      <c r="S108" s="4"/>
      <c r="T108" s="4"/>
    </row>
    <row r="109" spans="1:20">
      <c r="A109" s="132" t="s">
        <v>202</v>
      </c>
      <c r="B109" s="6" t="s">
        <v>2734</v>
      </c>
      <c r="C109" s="6">
        <v>5</v>
      </c>
      <c r="D109" s="3" t="s">
        <v>478</v>
      </c>
      <c r="E109" s="6"/>
      <c r="F109" s="3" t="s">
        <v>65</v>
      </c>
      <c r="G109" s="3" t="s">
        <v>61</v>
      </c>
      <c r="H109" s="3" t="s">
        <v>62</v>
      </c>
      <c r="I109" s="3" t="s">
        <v>66</v>
      </c>
      <c r="J109" s="6"/>
      <c r="K109" s="3" t="s">
        <v>67</v>
      </c>
      <c r="L109" s="6"/>
      <c r="M109" s="4" t="s">
        <v>56</v>
      </c>
      <c r="N109" s="4" t="s">
        <v>57</v>
      </c>
      <c r="O109" s="6"/>
      <c r="P109" s="6"/>
      <c r="Q109" s="4" t="s">
        <v>60</v>
      </c>
      <c r="R109" s="4" t="s">
        <v>2248</v>
      </c>
      <c r="S109" s="4"/>
      <c r="T109" s="4"/>
    </row>
    <row r="110" spans="1:20">
      <c r="A110" s="132"/>
      <c r="B110" s="6" t="s">
        <v>2735</v>
      </c>
      <c r="C110" s="6">
        <v>5</v>
      </c>
      <c r="D110" s="3" t="s">
        <v>472</v>
      </c>
      <c r="E110" s="3" t="s">
        <v>64</v>
      </c>
      <c r="F110" s="6"/>
      <c r="G110" s="3" t="s">
        <v>61</v>
      </c>
      <c r="H110" s="6"/>
      <c r="I110" s="3" t="s">
        <v>66</v>
      </c>
      <c r="J110" s="6"/>
      <c r="K110" s="3" t="s">
        <v>67</v>
      </c>
      <c r="L110" s="3" t="s">
        <v>69</v>
      </c>
      <c r="M110" s="6"/>
      <c r="N110" s="6"/>
      <c r="O110" s="4" t="s">
        <v>58</v>
      </c>
      <c r="P110" s="4" t="s">
        <v>59</v>
      </c>
      <c r="Q110" s="4" t="s">
        <v>60</v>
      </c>
      <c r="R110" s="4"/>
      <c r="S110" s="4" t="s">
        <v>2249</v>
      </c>
      <c r="T110" s="4"/>
    </row>
    <row r="111" spans="1:20">
      <c r="A111" s="132"/>
      <c r="B111" s="6" t="s">
        <v>1672</v>
      </c>
      <c r="C111" s="6">
        <v>5</v>
      </c>
      <c r="D111" s="3" t="s">
        <v>475</v>
      </c>
      <c r="E111" s="6"/>
      <c r="F111" s="3" t="s">
        <v>65</v>
      </c>
      <c r="G111" s="6"/>
      <c r="H111" s="3" t="s">
        <v>62</v>
      </c>
      <c r="I111" s="6"/>
      <c r="J111" s="3" t="s">
        <v>63</v>
      </c>
      <c r="K111" s="6"/>
      <c r="L111" s="3" t="s">
        <v>69</v>
      </c>
      <c r="M111" s="4" t="s">
        <v>56</v>
      </c>
      <c r="N111" s="4" t="s">
        <v>57</v>
      </c>
      <c r="O111" s="4" t="s">
        <v>58</v>
      </c>
      <c r="P111" s="6"/>
      <c r="Q111" s="4" t="s">
        <v>60</v>
      </c>
      <c r="R111" s="4"/>
      <c r="S111" s="4"/>
      <c r="T111" s="4" t="s">
        <v>2250</v>
      </c>
    </row>
    <row r="112" spans="1:20">
      <c r="A112" s="132"/>
      <c r="B112" s="6" t="s">
        <v>2736</v>
      </c>
      <c r="C112" s="6">
        <v>5</v>
      </c>
      <c r="D112" s="3" t="s">
        <v>478</v>
      </c>
      <c r="E112" s="3" t="s">
        <v>64</v>
      </c>
      <c r="F112" s="6"/>
      <c r="G112" s="3" t="s">
        <v>61</v>
      </c>
      <c r="H112" s="6"/>
      <c r="I112" s="6"/>
      <c r="J112" s="3" t="s">
        <v>63</v>
      </c>
      <c r="K112" s="3" t="s">
        <v>67</v>
      </c>
      <c r="L112" s="3" t="s">
        <v>69</v>
      </c>
      <c r="M112" s="4" t="s">
        <v>56</v>
      </c>
      <c r="N112" s="6"/>
      <c r="O112" s="6"/>
      <c r="P112" s="4" t="s">
        <v>59</v>
      </c>
      <c r="Q112" s="6"/>
      <c r="R112" s="4"/>
      <c r="S112" s="4" t="s">
        <v>2249</v>
      </c>
      <c r="T112" s="4"/>
    </row>
    <row r="113" spans="1:20">
      <c r="A113" s="132"/>
      <c r="B113" s="6" t="s">
        <v>2737</v>
      </c>
      <c r="C113" s="6">
        <v>5</v>
      </c>
      <c r="D113" s="3" t="s">
        <v>474</v>
      </c>
      <c r="E113" s="3" t="s">
        <v>64</v>
      </c>
      <c r="F113" s="3" t="s">
        <v>65</v>
      </c>
      <c r="G113" s="3" t="s">
        <v>61</v>
      </c>
      <c r="H113" s="6"/>
      <c r="I113" s="6"/>
      <c r="J113" s="6"/>
      <c r="K113" s="3" t="s">
        <v>67</v>
      </c>
      <c r="L113" s="3" t="s">
        <v>69</v>
      </c>
      <c r="M113" s="4" t="s">
        <v>56</v>
      </c>
      <c r="N113" s="6"/>
      <c r="O113" s="4" t="s">
        <v>58</v>
      </c>
      <c r="P113" s="6"/>
      <c r="Q113" s="4" t="s">
        <v>60</v>
      </c>
      <c r="R113" s="4" t="s">
        <v>2248</v>
      </c>
      <c r="S113" s="4"/>
      <c r="T113" s="4"/>
    </row>
    <row r="114" spans="1:20">
      <c r="A114" s="132"/>
      <c r="B114" s="6" t="s">
        <v>2738</v>
      </c>
      <c r="C114" s="6">
        <v>5</v>
      </c>
      <c r="D114" s="3" t="s">
        <v>475</v>
      </c>
      <c r="E114" s="6"/>
      <c r="F114" s="3" t="s">
        <v>65</v>
      </c>
      <c r="G114" s="6"/>
      <c r="H114" s="6"/>
      <c r="I114" s="3" t="s">
        <v>66</v>
      </c>
      <c r="J114" s="3" t="s">
        <v>63</v>
      </c>
      <c r="K114" s="6"/>
      <c r="L114" s="3" t="s">
        <v>69</v>
      </c>
      <c r="M114" s="4" t="s">
        <v>56</v>
      </c>
      <c r="N114" s="4" t="s">
        <v>57</v>
      </c>
      <c r="O114" s="4" t="s">
        <v>58</v>
      </c>
      <c r="P114" s="6"/>
      <c r="Q114" s="4" t="s">
        <v>60</v>
      </c>
      <c r="R114" s="4"/>
      <c r="S114" s="4"/>
      <c r="T114" s="4" t="s">
        <v>2250</v>
      </c>
    </row>
  </sheetData>
  <mergeCells count="11">
    <mergeCell ref="A100:A108"/>
    <mergeCell ref="A109:A114"/>
    <mergeCell ref="A37:A49"/>
    <mergeCell ref="A50:A58"/>
    <mergeCell ref="A1:T1"/>
    <mergeCell ref="A96:A99"/>
    <mergeCell ref="A59:A67"/>
    <mergeCell ref="A68:A75"/>
    <mergeCell ref="A91:A95"/>
    <mergeCell ref="A3:A36"/>
    <mergeCell ref="A76:A90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14"/>
  <sheetViews>
    <sheetView workbookViewId="0">
      <pane xSplit="1" ySplit="2" topLeftCell="B54" activePane="bottomRight" state="frozen"/>
      <selection pane="topRight" activeCell="C1" sqref="C1"/>
      <selection pane="bottomLeft" activeCell="A3" sqref="A3"/>
      <selection pane="bottomRight" activeCell="H74" sqref="H74"/>
    </sheetView>
  </sheetViews>
  <sheetFormatPr defaultColWidth="8.25" defaultRowHeight="14.25"/>
  <cols>
    <col min="1" max="1" width="8.5" style="18" bestFit="1" customWidth="1"/>
    <col min="2" max="16" width="5.5" style="18" bestFit="1" customWidth="1"/>
    <col min="17" max="19" width="6.375" style="18" bestFit="1" customWidth="1"/>
    <col min="20" max="16384" width="8.25" style="18"/>
  </cols>
  <sheetData>
    <row r="1" spans="1:19" ht="33">
      <c r="A1" s="135" t="s">
        <v>45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19" ht="28.5">
      <c r="A2" s="26" t="s">
        <v>503</v>
      </c>
      <c r="B2" s="11" t="s">
        <v>46</v>
      </c>
      <c r="C2" s="11" t="s">
        <v>47</v>
      </c>
      <c r="D2" s="11" t="s">
        <v>48</v>
      </c>
      <c r="E2" s="11" t="s">
        <v>49</v>
      </c>
      <c r="F2" s="11" t="s">
        <v>50</v>
      </c>
      <c r="G2" s="11" t="s">
        <v>51</v>
      </c>
      <c r="H2" s="11" t="s">
        <v>52</v>
      </c>
      <c r="I2" s="11" t="s">
        <v>53</v>
      </c>
      <c r="J2" s="11" t="s">
        <v>54</v>
      </c>
      <c r="K2" s="11" t="s">
        <v>55</v>
      </c>
      <c r="L2" s="11" t="s">
        <v>56</v>
      </c>
      <c r="M2" s="11" t="s">
        <v>57</v>
      </c>
      <c r="N2" s="11" t="s">
        <v>58</v>
      </c>
      <c r="O2" s="11" t="s">
        <v>870</v>
      </c>
      <c r="P2" s="11" t="s">
        <v>886</v>
      </c>
      <c r="Q2" s="11" t="s">
        <v>2248</v>
      </c>
      <c r="R2" s="11" t="s">
        <v>2249</v>
      </c>
      <c r="S2" s="11" t="s">
        <v>2250</v>
      </c>
    </row>
    <row r="3" spans="1:19">
      <c r="A3" s="4" t="s">
        <v>99</v>
      </c>
      <c r="B3" s="3">
        <v>3</v>
      </c>
      <c r="C3" s="3" t="s">
        <v>475</v>
      </c>
      <c r="D3" s="3"/>
      <c r="E3" s="3"/>
      <c r="F3" s="3"/>
      <c r="G3" s="3" t="s">
        <v>62</v>
      </c>
      <c r="H3" s="3" t="s">
        <v>66</v>
      </c>
      <c r="I3" s="3" t="s">
        <v>63</v>
      </c>
      <c r="J3" s="3"/>
      <c r="K3" s="3" t="s">
        <v>69</v>
      </c>
      <c r="L3" s="3"/>
      <c r="M3" s="3"/>
      <c r="N3" s="4" t="s">
        <v>58</v>
      </c>
      <c r="O3" s="3"/>
      <c r="P3" s="4" t="s">
        <v>60</v>
      </c>
      <c r="Q3" s="37"/>
      <c r="R3" s="37"/>
      <c r="S3" s="37"/>
    </row>
    <row r="4" spans="1:19">
      <c r="A4" s="4" t="s">
        <v>887</v>
      </c>
      <c r="B4" s="3">
        <v>3</v>
      </c>
      <c r="C4" s="3" t="s">
        <v>475</v>
      </c>
      <c r="D4" s="3"/>
      <c r="E4" s="3"/>
      <c r="F4" s="3" t="s">
        <v>61</v>
      </c>
      <c r="G4" s="3"/>
      <c r="H4" s="3" t="s">
        <v>66</v>
      </c>
      <c r="I4" s="3"/>
      <c r="J4" s="3"/>
      <c r="K4" s="3" t="s">
        <v>69</v>
      </c>
      <c r="L4" s="4" t="s">
        <v>56</v>
      </c>
      <c r="M4" s="3"/>
      <c r="N4" s="3"/>
      <c r="O4" s="4" t="s">
        <v>59</v>
      </c>
      <c r="P4" s="4" t="s">
        <v>60</v>
      </c>
      <c r="Q4" s="37"/>
      <c r="R4" s="37"/>
      <c r="S4" s="37"/>
    </row>
    <row r="5" spans="1:19">
      <c r="A5" s="4" t="s">
        <v>861</v>
      </c>
      <c r="B5" s="3">
        <v>3</v>
      </c>
      <c r="C5" s="3" t="s">
        <v>478</v>
      </c>
      <c r="D5" s="3"/>
      <c r="E5" s="3"/>
      <c r="F5" s="3" t="s">
        <v>61</v>
      </c>
      <c r="G5" s="3"/>
      <c r="H5" s="3" t="s">
        <v>66</v>
      </c>
      <c r="I5" s="3" t="s">
        <v>63</v>
      </c>
      <c r="J5" s="3"/>
      <c r="K5" s="3" t="s">
        <v>69</v>
      </c>
      <c r="L5" s="4" t="s">
        <v>56</v>
      </c>
      <c r="M5" s="3"/>
      <c r="N5" s="3"/>
      <c r="O5" s="3"/>
      <c r="P5" s="4" t="s">
        <v>60</v>
      </c>
      <c r="Q5" s="37"/>
      <c r="R5" s="37"/>
      <c r="S5" s="37"/>
    </row>
    <row r="6" spans="1:19">
      <c r="A6" s="4" t="s">
        <v>881</v>
      </c>
      <c r="B6" s="3">
        <v>3</v>
      </c>
      <c r="C6" s="3" t="s">
        <v>478</v>
      </c>
      <c r="D6" s="3"/>
      <c r="E6" s="3"/>
      <c r="F6" s="3" t="s">
        <v>61</v>
      </c>
      <c r="G6" s="3"/>
      <c r="H6" s="3" t="s">
        <v>66</v>
      </c>
      <c r="I6" s="3" t="s">
        <v>63</v>
      </c>
      <c r="J6" s="3"/>
      <c r="K6" s="3" t="s">
        <v>69</v>
      </c>
      <c r="L6" s="3"/>
      <c r="M6" s="3"/>
      <c r="N6" s="3"/>
      <c r="O6" s="4" t="s">
        <v>59</v>
      </c>
      <c r="P6" s="4" t="s">
        <v>60</v>
      </c>
      <c r="Q6" s="37"/>
      <c r="R6" s="37"/>
      <c r="S6" s="37"/>
    </row>
    <row r="7" spans="1:19">
      <c r="A7" s="4" t="s">
        <v>862</v>
      </c>
      <c r="B7" s="3">
        <v>3</v>
      </c>
      <c r="C7" s="3" t="s">
        <v>478</v>
      </c>
      <c r="D7" s="3"/>
      <c r="E7" s="3"/>
      <c r="F7" s="3" t="s">
        <v>61</v>
      </c>
      <c r="G7" s="3"/>
      <c r="H7" s="3" t="s">
        <v>66</v>
      </c>
      <c r="I7" s="3" t="s">
        <v>63</v>
      </c>
      <c r="J7" s="3"/>
      <c r="K7" s="3"/>
      <c r="L7" s="3"/>
      <c r="M7" s="3"/>
      <c r="N7" s="4" t="s">
        <v>58</v>
      </c>
      <c r="O7" s="3"/>
      <c r="P7" s="4" t="s">
        <v>60</v>
      </c>
      <c r="Q7" s="37"/>
      <c r="R7" s="37"/>
      <c r="S7" s="37"/>
    </row>
    <row r="8" spans="1:19">
      <c r="A8" s="4" t="s">
        <v>496</v>
      </c>
      <c r="B8" s="3">
        <v>2</v>
      </c>
      <c r="C8" s="3" t="s">
        <v>474</v>
      </c>
      <c r="D8" s="3"/>
      <c r="E8" s="3"/>
      <c r="F8" s="3"/>
      <c r="G8" s="3" t="s">
        <v>62</v>
      </c>
      <c r="H8" s="3" t="s">
        <v>66</v>
      </c>
      <c r="I8" s="3"/>
      <c r="J8" s="3" t="s">
        <v>67</v>
      </c>
      <c r="K8" s="3"/>
      <c r="L8" s="3"/>
      <c r="M8" s="4" t="s">
        <v>57</v>
      </c>
      <c r="N8" s="4" t="s">
        <v>58</v>
      </c>
      <c r="O8" s="4"/>
      <c r="P8" s="4" t="s">
        <v>60</v>
      </c>
      <c r="Q8" s="37"/>
      <c r="R8" s="37"/>
      <c r="S8" s="37"/>
    </row>
    <row r="9" spans="1:19">
      <c r="A9" s="4" t="s">
        <v>488</v>
      </c>
      <c r="B9" s="3">
        <v>3</v>
      </c>
      <c r="C9" s="3" t="s">
        <v>478</v>
      </c>
      <c r="D9" s="3"/>
      <c r="E9" s="3"/>
      <c r="F9" s="3" t="s">
        <v>61</v>
      </c>
      <c r="G9" s="3"/>
      <c r="H9" s="3" t="s">
        <v>66</v>
      </c>
      <c r="I9" s="3" t="s">
        <v>63</v>
      </c>
      <c r="J9" s="3"/>
      <c r="K9" s="3"/>
      <c r="L9" s="4" t="s">
        <v>56</v>
      </c>
      <c r="M9" s="3"/>
      <c r="N9" s="4" t="s">
        <v>58</v>
      </c>
      <c r="O9" s="3"/>
      <c r="P9" s="4" t="s">
        <v>60</v>
      </c>
      <c r="Q9" s="37"/>
      <c r="R9" s="37"/>
      <c r="S9" s="37"/>
    </row>
    <row r="10" spans="1:19">
      <c r="A10" s="4" t="s">
        <v>100</v>
      </c>
      <c r="B10" s="3">
        <v>3</v>
      </c>
      <c r="C10" s="3" t="s">
        <v>478</v>
      </c>
      <c r="D10" s="3"/>
      <c r="E10" s="3"/>
      <c r="F10" s="3" t="s">
        <v>61</v>
      </c>
      <c r="G10" s="3"/>
      <c r="H10" s="3" t="s">
        <v>66</v>
      </c>
      <c r="I10" s="3" t="s">
        <v>63</v>
      </c>
      <c r="J10" s="3" t="s">
        <v>67</v>
      </c>
      <c r="K10" s="3"/>
      <c r="L10" s="3"/>
      <c r="M10" s="3"/>
      <c r="N10" s="3"/>
      <c r="O10" s="3"/>
      <c r="P10" s="4" t="s">
        <v>60</v>
      </c>
      <c r="Q10" s="37"/>
      <c r="R10" s="37"/>
      <c r="S10" s="37"/>
    </row>
    <row r="11" spans="1:19">
      <c r="A11" s="4" t="s">
        <v>76</v>
      </c>
      <c r="B11" s="3">
        <v>4</v>
      </c>
      <c r="C11" s="3" t="s">
        <v>478</v>
      </c>
      <c r="D11" s="3"/>
      <c r="E11" s="3"/>
      <c r="F11" s="3" t="s">
        <v>61</v>
      </c>
      <c r="G11" s="3"/>
      <c r="H11" s="3" t="s">
        <v>66</v>
      </c>
      <c r="I11" s="3" t="s">
        <v>63</v>
      </c>
      <c r="J11" s="3"/>
      <c r="K11" s="3"/>
      <c r="L11" s="3"/>
      <c r="M11" s="4" t="s">
        <v>57</v>
      </c>
      <c r="N11" s="3"/>
      <c r="O11" s="4" t="s">
        <v>59</v>
      </c>
      <c r="P11" s="4" t="s">
        <v>60</v>
      </c>
      <c r="Q11" s="37"/>
      <c r="R11" s="37"/>
      <c r="S11" s="37"/>
    </row>
    <row r="12" spans="1:19">
      <c r="A12" s="4" t="s">
        <v>83</v>
      </c>
      <c r="B12" s="3">
        <v>3</v>
      </c>
      <c r="C12" s="3" t="s">
        <v>472</v>
      </c>
      <c r="D12" s="3"/>
      <c r="E12" s="3"/>
      <c r="F12" s="3"/>
      <c r="G12" s="3"/>
      <c r="H12" s="3" t="s">
        <v>66</v>
      </c>
      <c r="I12" s="3" t="s">
        <v>63</v>
      </c>
      <c r="J12" s="3" t="s">
        <v>67</v>
      </c>
      <c r="K12" s="3"/>
      <c r="L12" s="4" t="s">
        <v>56</v>
      </c>
      <c r="M12" s="4" t="s">
        <v>57</v>
      </c>
      <c r="N12" s="3"/>
      <c r="O12" s="3"/>
      <c r="P12" s="4" t="s">
        <v>60</v>
      </c>
      <c r="Q12" s="37"/>
      <c r="R12" s="37"/>
      <c r="S12" s="37"/>
    </row>
    <row r="13" spans="1:19">
      <c r="A13" s="4" t="s">
        <v>3902</v>
      </c>
      <c r="B13" s="3">
        <v>2</v>
      </c>
      <c r="C13" s="3" t="s">
        <v>94</v>
      </c>
      <c r="D13" s="3"/>
      <c r="E13" s="3" t="s">
        <v>65</v>
      </c>
      <c r="F13" s="3"/>
      <c r="G13" s="3" t="s">
        <v>62</v>
      </c>
      <c r="H13" s="3" t="s">
        <v>66</v>
      </c>
      <c r="I13" s="3" t="s">
        <v>63</v>
      </c>
      <c r="J13" s="3"/>
      <c r="K13" s="3"/>
      <c r="L13" s="3"/>
      <c r="M13" s="3"/>
      <c r="N13" s="3"/>
      <c r="O13" s="3"/>
      <c r="P13" s="4" t="s">
        <v>60</v>
      </c>
      <c r="Q13" s="37"/>
      <c r="R13" s="37"/>
      <c r="S13" s="37"/>
    </row>
    <row r="14" spans="1:19">
      <c r="A14" s="4" t="s">
        <v>492</v>
      </c>
      <c r="B14" s="3">
        <v>2</v>
      </c>
      <c r="C14" s="3" t="s">
        <v>94</v>
      </c>
      <c r="D14" s="3"/>
      <c r="E14" s="3" t="s">
        <v>65</v>
      </c>
      <c r="F14" s="3"/>
      <c r="G14" s="3" t="s">
        <v>62</v>
      </c>
      <c r="H14" s="3" t="s">
        <v>66</v>
      </c>
      <c r="I14" s="3" t="s">
        <v>63</v>
      </c>
      <c r="J14" s="3"/>
      <c r="K14" s="3" t="s">
        <v>69</v>
      </c>
      <c r="L14" s="3"/>
      <c r="M14" s="3"/>
      <c r="N14" s="3"/>
      <c r="O14" s="3"/>
      <c r="P14" s="4" t="s">
        <v>60</v>
      </c>
      <c r="Q14" s="37"/>
      <c r="R14" s="37"/>
      <c r="S14" s="37"/>
    </row>
    <row r="15" spans="1:19">
      <c r="A15" s="4" t="s">
        <v>86</v>
      </c>
      <c r="B15" s="3">
        <v>4</v>
      </c>
      <c r="C15" s="3" t="s">
        <v>475</v>
      </c>
      <c r="D15" s="3"/>
      <c r="E15" s="3"/>
      <c r="F15" s="3" t="s">
        <v>61</v>
      </c>
      <c r="G15" s="3"/>
      <c r="H15" s="3" t="s">
        <v>66</v>
      </c>
      <c r="I15" s="3" t="s">
        <v>63</v>
      </c>
      <c r="J15" s="3"/>
      <c r="K15" s="3"/>
      <c r="L15" s="4" t="s">
        <v>56</v>
      </c>
      <c r="M15" s="3"/>
      <c r="N15" s="4" t="s">
        <v>58</v>
      </c>
      <c r="O15" s="3"/>
      <c r="P15" s="4" t="s">
        <v>60</v>
      </c>
      <c r="Q15" s="37"/>
      <c r="R15" s="37"/>
      <c r="S15" s="37"/>
    </row>
    <row r="16" spans="1:19">
      <c r="A16" s="4" t="s">
        <v>3893</v>
      </c>
      <c r="B16" s="3">
        <v>4</v>
      </c>
      <c r="C16" s="3" t="s">
        <v>472</v>
      </c>
      <c r="D16" s="3"/>
      <c r="E16" s="3"/>
      <c r="F16" s="3" t="s">
        <v>61</v>
      </c>
      <c r="G16" s="3"/>
      <c r="H16" s="3" t="s">
        <v>66</v>
      </c>
      <c r="I16" s="3"/>
      <c r="J16" s="3"/>
      <c r="K16" s="3"/>
      <c r="L16" s="4" t="s">
        <v>56</v>
      </c>
      <c r="M16" s="3"/>
      <c r="N16" s="4" t="s">
        <v>58</v>
      </c>
      <c r="O16" s="4" t="s">
        <v>59</v>
      </c>
      <c r="P16" s="4" t="s">
        <v>60</v>
      </c>
      <c r="Q16" s="37"/>
      <c r="R16" s="37"/>
      <c r="S16" s="37"/>
    </row>
    <row r="17" spans="1:19">
      <c r="A17" s="4" t="s">
        <v>487</v>
      </c>
      <c r="B17" s="3">
        <v>2</v>
      </c>
      <c r="C17" s="3" t="s">
        <v>474</v>
      </c>
      <c r="D17" s="3" t="s">
        <v>64</v>
      </c>
      <c r="E17" s="3" t="s">
        <v>65</v>
      </c>
      <c r="F17" s="3"/>
      <c r="G17" s="3" t="s">
        <v>62</v>
      </c>
      <c r="H17" s="3" t="s">
        <v>66</v>
      </c>
      <c r="I17" s="3"/>
      <c r="J17" s="3"/>
      <c r="K17" s="3"/>
      <c r="L17" s="3"/>
      <c r="M17" s="4" t="s">
        <v>57</v>
      </c>
      <c r="N17" s="4" t="s">
        <v>58</v>
      </c>
      <c r="O17" s="3"/>
      <c r="P17" s="3"/>
      <c r="Q17" s="37"/>
      <c r="R17" s="37"/>
      <c r="S17" s="37"/>
    </row>
    <row r="18" spans="1:19">
      <c r="A18" s="4" t="s">
        <v>863</v>
      </c>
      <c r="B18" s="3">
        <v>3</v>
      </c>
      <c r="C18" s="3" t="s">
        <v>475</v>
      </c>
      <c r="D18" s="3" t="s">
        <v>64</v>
      </c>
      <c r="E18" s="3"/>
      <c r="F18" s="3" t="s">
        <v>61</v>
      </c>
      <c r="G18" s="3"/>
      <c r="H18" s="3" t="s">
        <v>66</v>
      </c>
      <c r="I18" s="3"/>
      <c r="J18" s="3" t="s">
        <v>67</v>
      </c>
      <c r="K18" s="3"/>
      <c r="L18" s="4" t="s">
        <v>56</v>
      </c>
      <c r="M18" s="4" t="s">
        <v>57</v>
      </c>
      <c r="N18" s="3"/>
      <c r="O18" s="3"/>
      <c r="P18" s="3"/>
      <c r="Q18" s="37"/>
      <c r="R18" s="37"/>
      <c r="S18" s="37"/>
    </row>
    <row r="19" spans="1:19">
      <c r="A19" s="4" t="s">
        <v>495</v>
      </c>
      <c r="B19" s="3">
        <v>2</v>
      </c>
      <c r="C19" s="3" t="s">
        <v>474</v>
      </c>
      <c r="D19" s="3" t="s">
        <v>64</v>
      </c>
      <c r="E19" s="3" t="s">
        <v>65</v>
      </c>
      <c r="F19" s="3"/>
      <c r="G19" s="3" t="s">
        <v>62</v>
      </c>
      <c r="H19" s="3" t="s">
        <v>66</v>
      </c>
      <c r="I19" s="3"/>
      <c r="J19" s="3" t="s">
        <v>67</v>
      </c>
      <c r="K19" s="3"/>
      <c r="L19" s="3"/>
      <c r="M19" s="3"/>
      <c r="N19" s="3"/>
      <c r="O19" s="4" t="s">
        <v>59</v>
      </c>
      <c r="P19" s="3"/>
      <c r="Q19" s="37"/>
      <c r="R19" s="37"/>
      <c r="S19" s="37"/>
    </row>
    <row r="20" spans="1:19">
      <c r="A20" s="4" t="s">
        <v>864</v>
      </c>
      <c r="B20" s="3">
        <v>3</v>
      </c>
      <c r="C20" s="3" t="s">
        <v>478</v>
      </c>
      <c r="D20" s="3"/>
      <c r="E20" s="3"/>
      <c r="F20" s="3" t="s">
        <v>61</v>
      </c>
      <c r="G20" s="3"/>
      <c r="H20" s="3" t="s">
        <v>66</v>
      </c>
      <c r="I20" s="3" t="s">
        <v>63</v>
      </c>
      <c r="J20" s="3"/>
      <c r="K20" s="3" t="s">
        <v>69</v>
      </c>
      <c r="L20" s="3"/>
      <c r="M20" s="4" t="s">
        <v>57</v>
      </c>
      <c r="N20" s="3"/>
      <c r="O20" s="4" t="s">
        <v>59</v>
      </c>
      <c r="P20" s="3"/>
      <c r="Q20" s="37"/>
      <c r="R20" s="37"/>
      <c r="S20" s="37"/>
    </row>
    <row r="21" spans="1:19">
      <c r="A21" s="4" t="s">
        <v>491</v>
      </c>
      <c r="B21" s="3">
        <v>3</v>
      </c>
      <c r="C21" s="3" t="s">
        <v>475</v>
      </c>
      <c r="D21" s="3" t="s">
        <v>64</v>
      </c>
      <c r="E21" s="3"/>
      <c r="F21" s="3" t="s">
        <v>61</v>
      </c>
      <c r="G21" s="3"/>
      <c r="H21" s="3" t="s">
        <v>66</v>
      </c>
      <c r="I21" s="3"/>
      <c r="J21" s="3" t="s">
        <v>67</v>
      </c>
      <c r="K21" s="3"/>
      <c r="L21" s="4" t="s">
        <v>56</v>
      </c>
      <c r="M21" s="3"/>
      <c r="N21" s="4" t="s">
        <v>58</v>
      </c>
      <c r="O21" s="3"/>
      <c r="P21" s="3"/>
      <c r="Q21" s="37"/>
      <c r="R21" s="37"/>
      <c r="S21" s="37"/>
    </row>
    <row r="22" spans="1:19">
      <c r="A22" s="4" t="s">
        <v>865</v>
      </c>
      <c r="B22" s="3">
        <v>3</v>
      </c>
      <c r="C22" s="3" t="s">
        <v>472</v>
      </c>
      <c r="D22" s="3" t="s">
        <v>64</v>
      </c>
      <c r="E22" s="3" t="s">
        <v>65</v>
      </c>
      <c r="F22" s="3" t="s">
        <v>61</v>
      </c>
      <c r="G22" s="3"/>
      <c r="H22" s="3" t="s">
        <v>66</v>
      </c>
      <c r="I22" s="3"/>
      <c r="J22" s="3" t="s">
        <v>67</v>
      </c>
      <c r="K22" s="3"/>
      <c r="L22" s="3"/>
      <c r="M22" s="4" t="s">
        <v>57</v>
      </c>
      <c r="N22" s="3"/>
      <c r="O22" s="3"/>
      <c r="P22" s="3"/>
      <c r="Q22" s="37"/>
      <c r="R22" s="37"/>
      <c r="S22" s="37"/>
    </row>
    <row r="23" spans="1:19">
      <c r="A23" s="4" t="s">
        <v>866</v>
      </c>
      <c r="B23" s="3">
        <v>3</v>
      </c>
      <c r="C23" s="3" t="s">
        <v>472</v>
      </c>
      <c r="D23" s="3" t="s">
        <v>64</v>
      </c>
      <c r="E23" s="3" t="s">
        <v>65</v>
      </c>
      <c r="F23" s="3" t="s">
        <v>61</v>
      </c>
      <c r="G23" s="3"/>
      <c r="H23" s="3" t="s">
        <v>66</v>
      </c>
      <c r="I23" s="3"/>
      <c r="J23" s="3" t="s">
        <v>67</v>
      </c>
      <c r="K23" s="3"/>
      <c r="L23" s="3"/>
      <c r="M23" s="4" t="s">
        <v>57</v>
      </c>
      <c r="N23" s="3"/>
      <c r="O23" s="3"/>
      <c r="P23" s="3"/>
      <c r="Q23" s="37"/>
      <c r="R23" s="37"/>
      <c r="S23" s="37"/>
    </row>
    <row r="24" spans="1:19">
      <c r="A24" s="4" t="s">
        <v>3885</v>
      </c>
      <c r="B24" s="3">
        <v>2</v>
      </c>
      <c r="C24" s="3" t="s">
        <v>472</v>
      </c>
      <c r="D24" s="3" t="s">
        <v>64</v>
      </c>
      <c r="E24" s="3" t="s">
        <v>65</v>
      </c>
      <c r="F24" s="3"/>
      <c r="G24" s="3" t="s">
        <v>62</v>
      </c>
      <c r="H24" s="3" t="s">
        <v>66</v>
      </c>
      <c r="I24" s="3"/>
      <c r="J24" s="3" t="s">
        <v>67</v>
      </c>
      <c r="K24" s="3"/>
      <c r="L24" s="3"/>
      <c r="M24" s="4" t="s">
        <v>57</v>
      </c>
      <c r="N24" s="3"/>
      <c r="O24" s="3"/>
      <c r="P24" s="3"/>
      <c r="Q24" s="37"/>
      <c r="R24" s="37"/>
      <c r="S24" s="37"/>
    </row>
    <row r="25" spans="1:19">
      <c r="A25" s="4" t="s">
        <v>102</v>
      </c>
      <c r="B25" s="3">
        <v>3</v>
      </c>
      <c r="C25" s="3" t="s">
        <v>474</v>
      </c>
      <c r="D25" s="3"/>
      <c r="E25" s="3"/>
      <c r="F25" s="3" t="s">
        <v>61</v>
      </c>
      <c r="G25" s="3"/>
      <c r="H25" s="3" t="s">
        <v>66</v>
      </c>
      <c r="I25" s="3"/>
      <c r="J25" s="3" t="s">
        <v>67</v>
      </c>
      <c r="K25" s="3" t="s">
        <v>69</v>
      </c>
      <c r="L25" s="4" t="s">
        <v>56</v>
      </c>
      <c r="M25" s="3"/>
      <c r="N25" s="3"/>
      <c r="O25" s="4" t="s">
        <v>59</v>
      </c>
      <c r="P25" s="3"/>
      <c r="Q25" s="37"/>
      <c r="R25" s="37"/>
      <c r="S25" s="37"/>
    </row>
    <row r="26" spans="1:19">
      <c r="A26" s="4" t="s">
        <v>867</v>
      </c>
      <c r="B26" s="3">
        <v>3</v>
      </c>
      <c r="C26" s="3" t="s">
        <v>474</v>
      </c>
      <c r="D26" s="3"/>
      <c r="E26" s="3"/>
      <c r="F26" s="3"/>
      <c r="G26" s="3"/>
      <c r="H26" s="3" t="s">
        <v>66</v>
      </c>
      <c r="I26" s="3" t="s">
        <v>63</v>
      </c>
      <c r="J26" s="3" t="s">
        <v>67</v>
      </c>
      <c r="K26" s="3" t="s">
        <v>69</v>
      </c>
      <c r="L26" s="4" t="s">
        <v>56</v>
      </c>
      <c r="M26" s="3"/>
      <c r="N26" s="3"/>
      <c r="O26" s="4" t="s">
        <v>59</v>
      </c>
      <c r="P26" s="3"/>
      <c r="Q26" s="37"/>
      <c r="R26" s="37"/>
      <c r="S26" s="37"/>
    </row>
    <row r="27" spans="1:19">
      <c r="A27" s="4" t="s">
        <v>91</v>
      </c>
      <c r="B27" s="3">
        <v>3</v>
      </c>
      <c r="C27" s="3" t="s">
        <v>474</v>
      </c>
      <c r="D27" s="3" t="s">
        <v>64</v>
      </c>
      <c r="E27" s="3" t="s">
        <v>65</v>
      </c>
      <c r="F27" s="3" t="s">
        <v>61</v>
      </c>
      <c r="G27" s="3"/>
      <c r="H27" s="3" t="s">
        <v>66</v>
      </c>
      <c r="I27" s="3"/>
      <c r="J27" s="3" t="s">
        <v>67</v>
      </c>
      <c r="K27" s="3"/>
      <c r="L27" s="3"/>
      <c r="M27" s="3"/>
      <c r="N27" s="4" t="s">
        <v>58</v>
      </c>
      <c r="O27" s="3"/>
      <c r="P27" s="3"/>
      <c r="Q27" s="37"/>
      <c r="R27" s="37"/>
      <c r="S27" s="37"/>
    </row>
    <row r="28" spans="1:19">
      <c r="A28" s="4" t="s">
        <v>3875</v>
      </c>
      <c r="B28" s="3">
        <v>3</v>
      </c>
      <c r="C28" s="3" t="s">
        <v>478</v>
      </c>
      <c r="D28" s="3" t="s">
        <v>64</v>
      </c>
      <c r="E28" s="3"/>
      <c r="F28" s="3" t="s">
        <v>61</v>
      </c>
      <c r="G28" s="3"/>
      <c r="H28" s="3" t="s">
        <v>66</v>
      </c>
      <c r="I28" s="3"/>
      <c r="J28" s="3" t="s">
        <v>67</v>
      </c>
      <c r="K28" s="3"/>
      <c r="L28" s="4" t="s">
        <v>56</v>
      </c>
      <c r="M28" s="3"/>
      <c r="N28" s="3"/>
      <c r="O28" s="4" t="s">
        <v>59</v>
      </c>
      <c r="P28" s="3"/>
      <c r="Q28" s="37"/>
      <c r="R28" s="37"/>
      <c r="S28" s="37"/>
    </row>
    <row r="29" spans="1:19">
      <c r="A29" s="4" t="s">
        <v>868</v>
      </c>
      <c r="B29" s="3">
        <v>2</v>
      </c>
      <c r="C29" s="3" t="s">
        <v>472</v>
      </c>
      <c r="D29" s="3" t="s">
        <v>64</v>
      </c>
      <c r="E29" s="3" t="s">
        <v>65</v>
      </c>
      <c r="F29" s="3"/>
      <c r="G29" s="3" t="s">
        <v>62</v>
      </c>
      <c r="H29" s="3" t="s">
        <v>66</v>
      </c>
      <c r="I29" s="3"/>
      <c r="J29" s="3" t="s">
        <v>67</v>
      </c>
      <c r="K29" s="3"/>
      <c r="L29" s="3"/>
      <c r="M29" s="3"/>
      <c r="N29" s="3"/>
      <c r="O29" s="4" t="s">
        <v>59</v>
      </c>
      <c r="P29" s="3"/>
      <c r="Q29" s="37"/>
      <c r="R29" s="37"/>
      <c r="S29" s="37"/>
    </row>
    <row r="30" spans="1:19">
      <c r="A30" s="4" t="s">
        <v>497</v>
      </c>
      <c r="B30" s="3">
        <v>3</v>
      </c>
      <c r="C30" s="3" t="s">
        <v>472</v>
      </c>
      <c r="D30" s="3" t="s">
        <v>64</v>
      </c>
      <c r="E30" s="3"/>
      <c r="F30" s="3" t="s">
        <v>61</v>
      </c>
      <c r="G30" s="3"/>
      <c r="H30" s="3" t="s">
        <v>66</v>
      </c>
      <c r="I30" s="3" t="s">
        <v>63</v>
      </c>
      <c r="J30" s="3" t="s">
        <v>67</v>
      </c>
      <c r="K30" s="3" t="s">
        <v>69</v>
      </c>
      <c r="L30" s="3"/>
      <c r="M30" s="3"/>
      <c r="N30" s="3"/>
      <c r="O30" s="3"/>
      <c r="P30" s="3"/>
      <c r="Q30" s="37"/>
      <c r="R30" s="37"/>
      <c r="S30" s="37"/>
    </row>
    <row r="31" spans="1:19">
      <c r="A31" s="4" t="s">
        <v>869</v>
      </c>
      <c r="B31" s="3">
        <v>2</v>
      </c>
      <c r="C31" s="3" t="s">
        <v>472</v>
      </c>
      <c r="D31" s="3" t="s">
        <v>64</v>
      </c>
      <c r="E31" s="3" t="s">
        <v>65</v>
      </c>
      <c r="F31" s="3"/>
      <c r="G31" s="3" t="s">
        <v>62</v>
      </c>
      <c r="H31" s="3" t="s">
        <v>66</v>
      </c>
      <c r="I31" s="3"/>
      <c r="J31" s="3" t="s">
        <v>67</v>
      </c>
      <c r="K31" s="3"/>
      <c r="L31" s="3"/>
      <c r="M31" s="4" t="s">
        <v>57</v>
      </c>
      <c r="N31" s="3"/>
      <c r="O31" s="3"/>
      <c r="P31" s="3"/>
      <c r="Q31" s="37"/>
      <c r="R31" s="37"/>
      <c r="S31" s="37"/>
    </row>
    <row r="32" spans="1:19">
      <c r="A32" s="4" t="s">
        <v>98</v>
      </c>
      <c r="B32" s="3">
        <v>2</v>
      </c>
      <c r="C32" s="3" t="s">
        <v>474</v>
      </c>
      <c r="D32" s="3" t="s">
        <v>64</v>
      </c>
      <c r="E32" s="3" t="s">
        <v>65</v>
      </c>
      <c r="F32" s="3"/>
      <c r="G32" s="3" t="s">
        <v>62</v>
      </c>
      <c r="H32" s="3" t="s">
        <v>66</v>
      </c>
      <c r="I32" s="3" t="s">
        <v>63</v>
      </c>
      <c r="J32" s="3"/>
      <c r="K32" s="3"/>
      <c r="L32" s="3"/>
      <c r="M32" s="4" t="s">
        <v>57</v>
      </c>
      <c r="N32" s="3"/>
      <c r="O32" s="3"/>
      <c r="P32" s="3"/>
      <c r="Q32" s="37"/>
      <c r="R32" s="37"/>
      <c r="S32" s="37"/>
    </row>
    <row r="33" spans="1:19">
      <c r="A33" s="4" t="s">
        <v>3869</v>
      </c>
      <c r="B33" s="3">
        <v>3</v>
      </c>
      <c r="C33" s="3" t="s">
        <v>474</v>
      </c>
      <c r="D33" s="3"/>
      <c r="E33" s="3" t="s">
        <v>65</v>
      </c>
      <c r="F33" s="3"/>
      <c r="G33" s="3" t="s">
        <v>62</v>
      </c>
      <c r="H33" s="3" t="s">
        <v>66</v>
      </c>
      <c r="I33" s="3" t="s">
        <v>63</v>
      </c>
      <c r="J33" s="3"/>
      <c r="K33" s="3" t="s">
        <v>69</v>
      </c>
      <c r="L33" s="3"/>
      <c r="M33" s="3"/>
      <c r="N33" s="4" t="s">
        <v>58</v>
      </c>
      <c r="O33" s="3"/>
      <c r="P33" s="3"/>
      <c r="Q33" s="37"/>
      <c r="R33" s="37"/>
      <c r="S33" s="37"/>
    </row>
    <row r="34" spans="1:19">
      <c r="A34" s="4" t="s">
        <v>494</v>
      </c>
      <c r="B34" s="3">
        <v>3</v>
      </c>
      <c r="C34" s="3" t="s">
        <v>475</v>
      </c>
      <c r="D34" s="3" t="s">
        <v>64</v>
      </c>
      <c r="E34" s="3"/>
      <c r="F34" s="3"/>
      <c r="G34" s="3"/>
      <c r="H34" s="3" t="s">
        <v>66</v>
      </c>
      <c r="I34" s="3" t="s">
        <v>63</v>
      </c>
      <c r="J34" s="3" t="s">
        <v>67</v>
      </c>
      <c r="K34" s="3"/>
      <c r="L34" s="4" t="s">
        <v>56</v>
      </c>
      <c r="M34" s="4" t="s">
        <v>57</v>
      </c>
      <c r="N34" s="3"/>
      <c r="O34" s="3"/>
      <c r="P34" s="3"/>
      <c r="Q34" s="37"/>
      <c r="R34" s="37"/>
      <c r="S34" s="37"/>
    </row>
    <row r="35" spans="1:19">
      <c r="A35" s="4" t="s">
        <v>80</v>
      </c>
      <c r="B35" s="3">
        <v>3</v>
      </c>
      <c r="C35" s="3" t="s">
        <v>478</v>
      </c>
      <c r="D35" s="3" t="s">
        <v>64</v>
      </c>
      <c r="E35" s="3"/>
      <c r="F35" s="3" t="s">
        <v>61</v>
      </c>
      <c r="G35" s="3"/>
      <c r="H35" s="3" t="s">
        <v>66</v>
      </c>
      <c r="I35" s="3"/>
      <c r="J35" s="3" t="s">
        <v>67</v>
      </c>
      <c r="K35" s="3" t="s">
        <v>69</v>
      </c>
      <c r="L35" s="3"/>
      <c r="M35" s="3"/>
      <c r="N35" s="3"/>
      <c r="O35" s="4" t="s">
        <v>59</v>
      </c>
      <c r="P35" s="3"/>
      <c r="Q35" s="37"/>
      <c r="R35" s="37"/>
      <c r="S35" s="37"/>
    </row>
    <row r="36" spans="1:19">
      <c r="A36" s="4" t="s">
        <v>476</v>
      </c>
      <c r="B36" s="3">
        <v>4</v>
      </c>
      <c r="C36" s="3" t="s">
        <v>475</v>
      </c>
      <c r="D36" s="3"/>
      <c r="E36" s="3" t="s">
        <v>65</v>
      </c>
      <c r="F36" s="3" t="s">
        <v>61</v>
      </c>
      <c r="G36" s="3"/>
      <c r="H36" s="3" t="s">
        <v>66</v>
      </c>
      <c r="I36" s="3" t="s">
        <v>63</v>
      </c>
      <c r="J36" s="3"/>
      <c r="K36" s="3"/>
      <c r="L36" s="3"/>
      <c r="M36" s="4" t="s">
        <v>57</v>
      </c>
      <c r="N36" s="4" t="s">
        <v>58</v>
      </c>
      <c r="O36" s="3"/>
      <c r="P36" s="3"/>
      <c r="Q36" s="37"/>
      <c r="R36" s="37"/>
      <c r="S36" s="37"/>
    </row>
    <row r="37" spans="1:19">
      <c r="A37" s="4" t="s">
        <v>70</v>
      </c>
      <c r="B37" s="3">
        <v>4</v>
      </c>
      <c r="C37" s="3" t="s">
        <v>474</v>
      </c>
      <c r="D37" s="3"/>
      <c r="E37" s="3" t="s">
        <v>65</v>
      </c>
      <c r="F37" s="3"/>
      <c r="G37" s="3"/>
      <c r="H37" s="3"/>
      <c r="I37" s="3" t="s">
        <v>63</v>
      </c>
      <c r="J37" s="3"/>
      <c r="K37" s="3" t="s">
        <v>69</v>
      </c>
      <c r="L37" s="4" t="s">
        <v>56</v>
      </c>
      <c r="M37" s="3"/>
      <c r="N37" s="3"/>
      <c r="O37" s="4" t="s">
        <v>59</v>
      </c>
      <c r="P37" s="4" t="s">
        <v>60</v>
      </c>
      <c r="Q37" s="37"/>
      <c r="R37" s="37"/>
      <c r="S37" s="37"/>
    </row>
    <row r="38" spans="1:19">
      <c r="A38" s="4" t="s">
        <v>78</v>
      </c>
      <c r="B38" s="3">
        <v>4</v>
      </c>
      <c r="C38" s="3" t="s">
        <v>474</v>
      </c>
      <c r="D38" s="3"/>
      <c r="E38" s="3"/>
      <c r="F38" s="3" t="s">
        <v>61</v>
      </c>
      <c r="G38" s="3"/>
      <c r="H38" s="3" t="s">
        <v>66</v>
      </c>
      <c r="I38" s="3"/>
      <c r="J38" s="3" t="s">
        <v>67</v>
      </c>
      <c r="K38" s="3"/>
      <c r="L38" s="4" t="s">
        <v>56</v>
      </c>
      <c r="M38" s="3"/>
      <c r="N38" s="4"/>
      <c r="O38" s="4" t="s">
        <v>59</v>
      </c>
      <c r="P38" s="4" t="s">
        <v>60</v>
      </c>
      <c r="Q38" s="37"/>
      <c r="R38" s="37"/>
      <c r="S38" s="37"/>
    </row>
    <row r="39" spans="1:19">
      <c r="A39" s="4" t="s">
        <v>81</v>
      </c>
      <c r="B39" s="3">
        <v>4</v>
      </c>
      <c r="C39" s="3" t="s">
        <v>474</v>
      </c>
      <c r="D39" s="3"/>
      <c r="E39" s="3" t="s">
        <v>65</v>
      </c>
      <c r="F39" s="3"/>
      <c r="G39" s="3" t="s">
        <v>62</v>
      </c>
      <c r="H39" s="3"/>
      <c r="I39" s="3" t="s">
        <v>63</v>
      </c>
      <c r="J39" s="3"/>
      <c r="K39" s="3"/>
      <c r="L39" s="4" t="s">
        <v>56</v>
      </c>
      <c r="M39" s="3"/>
      <c r="N39" s="4" t="s">
        <v>58</v>
      </c>
      <c r="O39" s="4"/>
      <c r="P39" s="4" t="s">
        <v>60</v>
      </c>
      <c r="Q39" s="37"/>
      <c r="R39" s="37"/>
      <c r="S39" s="37"/>
    </row>
    <row r="40" spans="1:19">
      <c r="A40" s="4" t="s">
        <v>4055</v>
      </c>
      <c r="B40" s="3">
        <v>4</v>
      </c>
      <c r="C40" s="3" t="s">
        <v>478</v>
      </c>
      <c r="D40" s="3" t="s">
        <v>64</v>
      </c>
      <c r="E40" s="3"/>
      <c r="F40" s="3" t="s">
        <v>61</v>
      </c>
      <c r="G40" s="3"/>
      <c r="H40" s="3"/>
      <c r="I40" s="3"/>
      <c r="J40" s="3" t="s">
        <v>67</v>
      </c>
      <c r="K40" s="3" t="s">
        <v>69</v>
      </c>
      <c r="L40" s="4" t="s">
        <v>56</v>
      </c>
      <c r="M40" s="3"/>
      <c r="N40" s="3"/>
      <c r="O40" s="3"/>
      <c r="P40" s="4" t="s">
        <v>60</v>
      </c>
      <c r="Q40" s="37"/>
      <c r="R40" s="37"/>
      <c r="S40" s="37"/>
    </row>
    <row r="41" spans="1:19">
      <c r="A41" s="4" t="s">
        <v>888</v>
      </c>
      <c r="B41" s="3">
        <v>4</v>
      </c>
      <c r="C41" s="3" t="s">
        <v>475</v>
      </c>
      <c r="D41" s="3"/>
      <c r="E41" s="3" t="s">
        <v>65</v>
      </c>
      <c r="F41" s="3"/>
      <c r="G41" s="3"/>
      <c r="H41" s="3" t="s">
        <v>66</v>
      </c>
      <c r="I41" s="3" t="s">
        <v>63</v>
      </c>
      <c r="J41" s="3"/>
      <c r="K41" s="3" t="s">
        <v>69</v>
      </c>
      <c r="L41" s="4" t="s">
        <v>56</v>
      </c>
      <c r="M41" s="3"/>
      <c r="N41" s="4" t="s">
        <v>58</v>
      </c>
      <c r="O41" s="4"/>
      <c r="P41" s="4" t="s">
        <v>60</v>
      </c>
      <c r="Q41" s="37"/>
      <c r="R41" s="37"/>
      <c r="S41" s="37"/>
    </row>
    <row r="42" spans="1:19">
      <c r="A42" s="4" t="s">
        <v>101</v>
      </c>
      <c r="B42" s="3">
        <v>4</v>
      </c>
      <c r="C42" s="3" t="s">
        <v>478</v>
      </c>
      <c r="D42" s="3"/>
      <c r="E42" s="3"/>
      <c r="F42" s="3"/>
      <c r="G42" s="3" t="s">
        <v>62</v>
      </c>
      <c r="H42" s="3" t="s">
        <v>66</v>
      </c>
      <c r="I42" s="3" t="s">
        <v>53</v>
      </c>
      <c r="J42" s="3"/>
      <c r="K42" s="3" t="s">
        <v>69</v>
      </c>
      <c r="L42" s="3"/>
      <c r="M42" s="3"/>
      <c r="N42" s="4"/>
      <c r="O42" s="4" t="s">
        <v>59</v>
      </c>
      <c r="P42" s="4" t="s">
        <v>60</v>
      </c>
      <c r="Q42" s="37"/>
      <c r="R42" s="37"/>
      <c r="S42" s="37"/>
    </row>
    <row r="43" spans="1:19">
      <c r="A43" s="4" t="s">
        <v>96</v>
      </c>
      <c r="B43" s="3">
        <v>4</v>
      </c>
      <c r="C43" s="3" t="s">
        <v>478</v>
      </c>
      <c r="D43" s="3" t="s">
        <v>64</v>
      </c>
      <c r="E43" s="3"/>
      <c r="F43" s="3" t="s">
        <v>61</v>
      </c>
      <c r="G43" s="3"/>
      <c r="H43" s="3" t="s">
        <v>66</v>
      </c>
      <c r="I43" s="3"/>
      <c r="J43" s="3"/>
      <c r="K43" s="3" t="s">
        <v>69</v>
      </c>
      <c r="L43" s="3"/>
      <c r="M43" s="3"/>
      <c r="N43" s="4" t="s">
        <v>58</v>
      </c>
      <c r="O43" s="4"/>
      <c r="P43" s="4" t="s">
        <v>60</v>
      </c>
      <c r="Q43" s="37"/>
      <c r="R43" s="37"/>
      <c r="S43" s="37"/>
    </row>
    <row r="44" spans="1:19">
      <c r="A44" s="4" t="s">
        <v>82</v>
      </c>
      <c r="B44" s="3">
        <v>4</v>
      </c>
      <c r="C44" s="3" t="s">
        <v>472</v>
      </c>
      <c r="D44" s="3" t="s">
        <v>64</v>
      </c>
      <c r="E44" s="3"/>
      <c r="F44" s="3" t="s">
        <v>61</v>
      </c>
      <c r="G44" s="3"/>
      <c r="H44" s="3"/>
      <c r="I44" s="3"/>
      <c r="J44" s="3" t="s">
        <v>54</v>
      </c>
      <c r="K44" s="3"/>
      <c r="L44" s="4" t="s">
        <v>56</v>
      </c>
      <c r="M44" s="3"/>
      <c r="N44" s="4" t="s">
        <v>58</v>
      </c>
      <c r="O44" s="3"/>
      <c r="P44" s="4" t="s">
        <v>60</v>
      </c>
      <c r="Q44" s="37"/>
      <c r="R44" s="37"/>
      <c r="S44" s="37"/>
    </row>
    <row r="45" spans="1:19">
      <c r="A45" s="4" t="s">
        <v>882</v>
      </c>
      <c r="B45" s="3">
        <v>4</v>
      </c>
      <c r="C45" s="3" t="s">
        <v>475</v>
      </c>
      <c r="D45" s="3" t="s">
        <v>64</v>
      </c>
      <c r="E45" s="3"/>
      <c r="F45" s="3"/>
      <c r="G45" s="3" t="s">
        <v>62</v>
      </c>
      <c r="H45" s="3" t="s">
        <v>66</v>
      </c>
      <c r="I45" s="3" t="s">
        <v>63</v>
      </c>
      <c r="J45" s="3"/>
      <c r="K45" s="3"/>
      <c r="L45" s="3"/>
      <c r="M45" s="3"/>
      <c r="N45" s="3"/>
      <c r="O45" s="4" t="s">
        <v>59</v>
      </c>
      <c r="P45" s="4" t="s">
        <v>60</v>
      </c>
      <c r="Q45" s="37"/>
      <c r="R45" s="37"/>
      <c r="S45" s="37"/>
    </row>
    <row r="46" spans="1:19">
      <c r="A46" s="4" t="s">
        <v>73</v>
      </c>
      <c r="B46" s="3">
        <v>4</v>
      </c>
      <c r="C46" s="3" t="s">
        <v>472</v>
      </c>
      <c r="D46" s="3" t="s">
        <v>64</v>
      </c>
      <c r="E46" s="3"/>
      <c r="F46" s="3" t="s">
        <v>61</v>
      </c>
      <c r="G46" s="3"/>
      <c r="H46" s="3" t="s">
        <v>66</v>
      </c>
      <c r="I46" s="3"/>
      <c r="J46" s="3" t="s">
        <v>67</v>
      </c>
      <c r="K46" s="3"/>
      <c r="L46" s="3"/>
      <c r="M46" s="3"/>
      <c r="N46" s="4" t="s">
        <v>58</v>
      </c>
      <c r="O46" s="3"/>
      <c r="P46" s="4" t="s">
        <v>60</v>
      </c>
      <c r="Q46" s="37"/>
      <c r="R46" s="37"/>
      <c r="S46" s="37"/>
    </row>
    <row r="47" spans="1:19">
      <c r="A47" s="4" t="s">
        <v>889</v>
      </c>
      <c r="B47" s="3">
        <v>4</v>
      </c>
      <c r="C47" s="3" t="s">
        <v>475</v>
      </c>
      <c r="D47" s="3" t="s">
        <v>64</v>
      </c>
      <c r="E47" s="3"/>
      <c r="F47" s="3" t="s">
        <v>61</v>
      </c>
      <c r="G47" s="3"/>
      <c r="H47" s="3" t="s">
        <v>66</v>
      </c>
      <c r="I47" s="3"/>
      <c r="J47" s="3"/>
      <c r="K47" s="3"/>
      <c r="L47" s="4" t="s">
        <v>56</v>
      </c>
      <c r="M47" s="3"/>
      <c r="N47" s="3"/>
      <c r="O47" s="4" t="s">
        <v>59</v>
      </c>
      <c r="P47" s="4" t="s">
        <v>60</v>
      </c>
      <c r="Q47" s="37"/>
      <c r="R47" s="37"/>
      <c r="S47" s="37"/>
    </row>
    <row r="48" spans="1:19">
      <c r="A48" s="4" t="s">
        <v>883</v>
      </c>
      <c r="B48" s="3">
        <v>4</v>
      </c>
      <c r="C48" s="3" t="s">
        <v>472</v>
      </c>
      <c r="D48" s="3" t="s">
        <v>64</v>
      </c>
      <c r="E48" s="3" t="s">
        <v>65</v>
      </c>
      <c r="F48" s="3" t="s">
        <v>61</v>
      </c>
      <c r="G48" s="3"/>
      <c r="H48" s="3" t="s">
        <v>66</v>
      </c>
      <c r="I48" s="3" t="s">
        <v>63</v>
      </c>
      <c r="J48" s="3"/>
      <c r="K48" s="3"/>
      <c r="L48" s="3"/>
      <c r="M48" s="4" t="s">
        <v>57</v>
      </c>
      <c r="N48" s="3"/>
      <c r="O48" s="3"/>
      <c r="P48" s="4" t="s">
        <v>60</v>
      </c>
      <c r="Q48" s="37"/>
      <c r="R48" s="37"/>
      <c r="S48" s="37"/>
    </row>
    <row r="49" spans="1:19">
      <c r="A49" s="4" t="s">
        <v>77</v>
      </c>
      <c r="B49" s="3">
        <v>4</v>
      </c>
      <c r="C49" s="3" t="s">
        <v>474</v>
      </c>
      <c r="D49" s="3" t="s">
        <v>64</v>
      </c>
      <c r="E49" s="3" t="s">
        <v>65</v>
      </c>
      <c r="F49" s="3" t="s">
        <v>61</v>
      </c>
      <c r="G49" s="3"/>
      <c r="H49" s="3" t="s">
        <v>66</v>
      </c>
      <c r="I49" s="3" t="s">
        <v>63</v>
      </c>
      <c r="J49" s="3"/>
      <c r="K49" s="3"/>
      <c r="L49" s="3"/>
      <c r="M49" s="4" t="s">
        <v>57</v>
      </c>
      <c r="N49" s="3"/>
      <c r="O49" s="3"/>
      <c r="P49" s="4" t="s">
        <v>60</v>
      </c>
      <c r="Q49" s="37"/>
      <c r="R49" s="37"/>
      <c r="S49" s="37"/>
    </row>
    <row r="50" spans="1:19">
      <c r="A50" s="4" t="s">
        <v>489</v>
      </c>
      <c r="B50" s="3">
        <v>4</v>
      </c>
      <c r="C50" s="3" t="s">
        <v>475</v>
      </c>
      <c r="D50" s="3"/>
      <c r="E50" s="3" t="s">
        <v>65</v>
      </c>
      <c r="F50" s="3"/>
      <c r="G50" s="3"/>
      <c r="H50" s="3" t="s">
        <v>66</v>
      </c>
      <c r="I50" s="3" t="s">
        <v>63</v>
      </c>
      <c r="J50" s="3"/>
      <c r="K50" s="3"/>
      <c r="L50" s="4" t="s">
        <v>56</v>
      </c>
      <c r="M50" s="3"/>
      <c r="N50" s="4" t="s">
        <v>58</v>
      </c>
      <c r="O50" s="3"/>
      <c r="P50" s="4" t="s">
        <v>60</v>
      </c>
      <c r="Q50" s="37"/>
      <c r="R50" s="37"/>
      <c r="S50" s="37"/>
    </row>
    <row r="51" spans="1:19">
      <c r="A51" s="4" t="s">
        <v>890</v>
      </c>
      <c r="B51" s="3">
        <v>4</v>
      </c>
      <c r="C51" s="3" t="s">
        <v>472</v>
      </c>
      <c r="D51" s="3" t="s">
        <v>64</v>
      </c>
      <c r="E51" s="3"/>
      <c r="F51" s="3" t="s">
        <v>61</v>
      </c>
      <c r="G51" s="3"/>
      <c r="H51" s="3"/>
      <c r="I51" s="3"/>
      <c r="J51" s="3" t="s">
        <v>67</v>
      </c>
      <c r="K51" s="3"/>
      <c r="L51" s="3"/>
      <c r="M51" s="4" t="s">
        <v>57</v>
      </c>
      <c r="N51" s="3"/>
      <c r="O51" s="4" t="s">
        <v>59</v>
      </c>
      <c r="P51" s="4" t="s">
        <v>60</v>
      </c>
      <c r="Q51" s="37"/>
      <c r="R51" s="37"/>
      <c r="S51" s="37"/>
    </row>
    <row r="52" spans="1:19">
      <c r="A52" s="4" t="s">
        <v>891</v>
      </c>
      <c r="B52" s="3">
        <v>4</v>
      </c>
      <c r="C52" s="3" t="s">
        <v>474</v>
      </c>
      <c r="D52" s="3"/>
      <c r="E52" s="3" t="s">
        <v>65</v>
      </c>
      <c r="F52" s="3"/>
      <c r="G52" s="3" t="s">
        <v>62</v>
      </c>
      <c r="H52" s="3" t="s">
        <v>66</v>
      </c>
      <c r="I52" s="3"/>
      <c r="J52" s="3"/>
      <c r="K52" s="3"/>
      <c r="L52" s="3"/>
      <c r="M52" s="4" t="s">
        <v>57</v>
      </c>
      <c r="N52" s="4" t="s">
        <v>58</v>
      </c>
      <c r="O52" s="3"/>
      <c r="P52" s="4" t="s">
        <v>60</v>
      </c>
      <c r="Q52" s="37"/>
      <c r="R52" s="37"/>
      <c r="S52" s="37"/>
    </row>
    <row r="53" spans="1:19">
      <c r="A53" s="4" t="s">
        <v>74</v>
      </c>
      <c r="B53" s="3">
        <v>4</v>
      </c>
      <c r="C53" s="3" t="s">
        <v>478</v>
      </c>
      <c r="D53" s="3" t="s">
        <v>64</v>
      </c>
      <c r="E53" s="3"/>
      <c r="F53" s="3" t="s">
        <v>61</v>
      </c>
      <c r="G53" s="3" t="s">
        <v>62</v>
      </c>
      <c r="H53" s="3"/>
      <c r="I53" s="3"/>
      <c r="J53" s="3" t="s">
        <v>67</v>
      </c>
      <c r="K53" s="3"/>
      <c r="L53" s="3"/>
      <c r="M53" s="3"/>
      <c r="N53" s="3"/>
      <c r="O53" s="4" t="s">
        <v>59</v>
      </c>
      <c r="P53" s="4" t="s">
        <v>60</v>
      </c>
      <c r="Q53" s="37"/>
      <c r="R53" s="37"/>
      <c r="S53" s="37"/>
    </row>
    <row r="54" spans="1:19">
      <c r="A54" s="4" t="s">
        <v>93</v>
      </c>
      <c r="B54" s="3">
        <v>4</v>
      </c>
      <c r="C54" s="3" t="s">
        <v>478</v>
      </c>
      <c r="D54" s="3"/>
      <c r="E54" s="3"/>
      <c r="F54" s="3" t="s">
        <v>61</v>
      </c>
      <c r="G54" s="3" t="s">
        <v>62</v>
      </c>
      <c r="H54" s="3"/>
      <c r="I54" s="3" t="s">
        <v>63</v>
      </c>
      <c r="J54" s="3"/>
      <c r="K54" s="3" t="s">
        <v>69</v>
      </c>
      <c r="L54" s="3"/>
      <c r="M54" s="4" t="s">
        <v>57</v>
      </c>
      <c r="N54" s="3"/>
      <c r="O54" s="3"/>
      <c r="P54" s="4" t="s">
        <v>60</v>
      </c>
      <c r="Q54" s="37"/>
      <c r="R54" s="37"/>
      <c r="S54" s="37"/>
    </row>
    <row r="55" spans="1:19">
      <c r="A55" s="4" t="s">
        <v>483</v>
      </c>
      <c r="B55" s="3">
        <v>4</v>
      </c>
      <c r="C55" s="3" t="s">
        <v>474</v>
      </c>
      <c r="D55" s="3"/>
      <c r="E55" s="3"/>
      <c r="F55" s="3" t="s">
        <v>61</v>
      </c>
      <c r="G55" s="3"/>
      <c r="H55" s="3"/>
      <c r="I55" s="3" t="s">
        <v>63</v>
      </c>
      <c r="J55" s="3"/>
      <c r="K55" s="3" t="s">
        <v>69</v>
      </c>
      <c r="L55" s="3"/>
      <c r="M55" s="4" t="s">
        <v>57</v>
      </c>
      <c r="N55" s="4" t="s">
        <v>58</v>
      </c>
      <c r="O55" s="3"/>
      <c r="P55" s="4" t="s">
        <v>60</v>
      </c>
      <c r="Q55" s="37"/>
      <c r="R55" s="37"/>
      <c r="S55" s="37"/>
    </row>
    <row r="56" spans="1:19">
      <c r="A56" s="4" t="s">
        <v>484</v>
      </c>
      <c r="B56" s="3">
        <v>4</v>
      </c>
      <c r="C56" s="3" t="s">
        <v>474</v>
      </c>
      <c r="D56" s="3"/>
      <c r="E56" s="3" t="s">
        <v>65</v>
      </c>
      <c r="F56" s="3"/>
      <c r="G56" s="3"/>
      <c r="H56" s="3"/>
      <c r="I56" s="3" t="s">
        <v>63</v>
      </c>
      <c r="J56" s="3"/>
      <c r="K56" s="3"/>
      <c r="L56" s="4" t="s">
        <v>56</v>
      </c>
      <c r="M56" s="4" t="s">
        <v>57</v>
      </c>
      <c r="N56" s="3"/>
      <c r="O56" s="4" t="s">
        <v>59</v>
      </c>
      <c r="P56" s="4" t="s">
        <v>60</v>
      </c>
      <c r="Q56" s="37"/>
      <c r="R56" s="37"/>
      <c r="S56" s="37"/>
    </row>
    <row r="57" spans="1:19">
      <c r="A57" s="4" t="s">
        <v>875</v>
      </c>
      <c r="B57" s="3">
        <v>4</v>
      </c>
      <c r="C57" s="3" t="s">
        <v>475</v>
      </c>
      <c r="D57" s="3" t="s">
        <v>64</v>
      </c>
      <c r="E57" s="3"/>
      <c r="F57" s="3" t="s">
        <v>61</v>
      </c>
      <c r="G57" s="3"/>
      <c r="H57" s="3"/>
      <c r="I57" s="3"/>
      <c r="J57" s="3" t="s">
        <v>67</v>
      </c>
      <c r="K57" s="3"/>
      <c r="L57" s="3"/>
      <c r="M57" s="4" t="s">
        <v>57</v>
      </c>
      <c r="N57" s="4" t="s">
        <v>58</v>
      </c>
      <c r="O57" s="3"/>
      <c r="P57" s="4" t="s">
        <v>60</v>
      </c>
      <c r="Q57" s="37"/>
      <c r="R57" s="37"/>
      <c r="S57" s="37"/>
    </row>
    <row r="58" spans="1:19">
      <c r="A58" s="4" t="s">
        <v>485</v>
      </c>
      <c r="B58" s="3">
        <v>4</v>
      </c>
      <c r="C58" s="3" t="s">
        <v>475</v>
      </c>
      <c r="D58" s="3" t="s">
        <v>64</v>
      </c>
      <c r="E58" s="3" t="s">
        <v>65</v>
      </c>
      <c r="F58" s="3" t="s">
        <v>61</v>
      </c>
      <c r="G58" s="3"/>
      <c r="H58" s="3" t="s">
        <v>66</v>
      </c>
      <c r="I58" s="3" t="s">
        <v>63</v>
      </c>
      <c r="J58" s="3"/>
      <c r="K58" s="3"/>
      <c r="L58" s="3"/>
      <c r="M58" s="3"/>
      <c r="N58" s="3"/>
      <c r="O58" s="3"/>
      <c r="P58" s="4" t="s">
        <v>60</v>
      </c>
      <c r="Q58" s="37"/>
      <c r="R58" s="37"/>
      <c r="S58" s="37"/>
    </row>
    <row r="59" spans="1:19">
      <c r="A59" s="4" t="s">
        <v>876</v>
      </c>
      <c r="B59" s="3">
        <v>4</v>
      </c>
      <c r="C59" s="3" t="s">
        <v>472</v>
      </c>
      <c r="D59" s="3"/>
      <c r="E59" s="3"/>
      <c r="F59" s="3" t="s">
        <v>61</v>
      </c>
      <c r="G59" s="3"/>
      <c r="H59" s="3" t="s">
        <v>66</v>
      </c>
      <c r="I59" s="3"/>
      <c r="J59" s="3" t="s">
        <v>67</v>
      </c>
      <c r="K59" s="3"/>
      <c r="L59" s="4" t="s">
        <v>56</v>
      </c>
      <c r="M59" s="3"/>
      <c r="N59" s="3"/>
      <c r="O59" s="4" t="s">
        <v>59</v>
      </c>
      <c r="P59" s="4" t="s">
        <v>60</v>
      </c>
      <c r="Q59" s="37"/>
      <c r="R59" s="37"/>
      <c r="S59" s="37"/>
    </row>
    <row r="60" spans="1:19">
      <c r="A60" s="4" t="s">
        <v>3733</v>
      </c>
      <c r="B60" s="3">
        <v>4</v>
      </c>
      <c r="C60" s="3" t="s">
        <v>472</v>
      </c>
      <c r="D60" s="3" t="s">
        <v>64</v>
      </c>
      <c r="E60" s="3" t="s">
        <v>65</v>
      </c>
      <c r="F60" s="3" t="s">
        <v>61</v>
      </c>
      <c r="G60" s="3"/>
      <c r="H60" s="3"/>
      <c r="I60" s="3"/>
      <c r="J60" s="3" t="s">
        <v>67</v>
      </c>
      <c r="K60" s="3" t="s">
        <v>69</v>
      </c>
      <c r="L60" s="3"/>
      <c r="M60" s="3"/>
      <c r="N60" s="3"/>
      <c r="O60" s="3"/>
      <c r="P60" s="3"/>
      <c r="Q60" s="37"/>
      <c r="R60" s="37"/>
      <c r="S60" s="37"/>
    </row>
    <row r="61" spans="1:19">
      <c r="A61" s="4" t="s">
        <v>3881</v>
      </c>
      <c r="B61" s="3">
        <v>4</v>
      </c>
      <c r="C61" s="3" t="s">
        <v>472</v>
      </c>
      <c r="D61" s="3" t="s">
        <v>64</v>
      </c>
      <c r="E61" s="3"/>
      <c r="F61" s="3" t="s">
        <v>61</v>
      </c>
      <c r="G61" s="3"/>
      <c r="H61" s="3"/>
      <c r="I61" s="3"/>
      <c r="J61" s="3" t="s">
        <v>67</v>
      </c>
      <c r="K61" s="3" t="s">
        <v>69</v>
      </c>
      <c r="L61" s="3"/>
      <c r="M61" s="3"/>
      <c r="N61" s="3"/>
      <c r="O61" s="4" t="s">
        <v>59</v>
      </c>
      <c r="P61" s="4" t="s">
        <v>60</v>
      </c>
      <c r="Q61" s="37"/>
      <c r="R61" s="37"/>
      <c r="S61" s="37"/>
    </row>
    <row r="62" spans="1:19">
      <c r="A62" s="4" t="s">
        <v>85</v>
      </c>
      <c r="B62" s="3">
        <v>4</v>
      </c>
      <c r="C62" s="3" t="s">
        <v>474</v>
      </c>
      <c r="D62" s="3"/>
      <c r="E62" s="3"/>
      <c r="F62" s="3" t="s">
        <v>61</v>
      </c>
      <c r="G62" s="3" t="s">
        <v>62</v>
      </c>
      <c r="H62" s="3" t="s">
        <v>66</v>
      </c>
      <c r="I62" s="3"/>
      <c r="J62" s="3"/>
      <c r="K62" s="3"/>
      <c r="L62" s="3"/>
      <c r="M62" s="3"/>
      <c r="N62" s="4" t="s">
        <v>58</v>
      </c>
      <c r="O62" s="4" t="s">
        <v>59</v>
      </c>
      <c r="P62" s="4"/>
      <c r="Q62" s="37"/>
      <c r="R62" s="37"/>
      <c r="S62" s="37"/>
    </row>
    <row r="63" spans="1:19">
      <c r="A63" s="4" t="s">
        <v>3876</v>
      </c>
      <c r="B63" s="3">
        <v>4</v>
      </c>
      <c r="C63" s="3" t="s">
        <v>478</v>
      </c>
      <c r="D63" s="3"/>
      <c r="E63" s="3"/>
      <c r="F63" s="3" t="s">
        <v>61</v>
      </c>
      <c r="G63" s="3"/>
      <c r="H63" s="3" t="s">
        <v>66</v>
      </c>
      <c r="I63" s="3"/>
      <c r="J63" s="3"/>
      <c r="K63" s="3"/>
      <c r="L63" s="4" t="s">
        <v>56</v>
      </c>
      <c r="M63" s="3"/>
      <c r="N63" s="4" t="s">
        <v>58</v>
      </c>
      <c r="O63" s="4" t="s">
        <v>59</v>
      </c>
      <c r="P63" s="4" t="s">
        <v>60</v>
      </c>
      <c r="Q63" s="37"/>
      <c r="R63" s="37"/>
      <c r="S63" s="37"/>
    </row>
    <row r="64" spans="1:19">
      <c r="A64" s="4" t="s">
        <v>877</v>
      </c>
      <c r="B64" s="3">
        <v>4</v>
      </c>
      <c r="C64" s="3" t="s">
        <v>471</v>
      </c>
      <c r="D64" s="3"/>
      <c r="E64" s="3"/>
      <c r="F64" s="3" t="s">
        <v>61</v>
      </c>
      <c r="G64" s="3" t="s">
        <v>62</v>
      </c>
      <c r="H64" s="3"/>
      <c r="I64" s="3" t="s">
        <v>63</v>
      </c>
      <c r="J64" s="3"/>
      <c r="K64" s="3"/>
      <c r="L64" s="4" t="s">
        <v>56</v>
      </c>
      <c r="M64" s="3"/>
      <c r="N64" s="4" t="s">
        <v>58</v>
      </c>
      <c r="O64" s="4" t="s">
        <v>59</v>
      </c>
      <c r="P64" s="4" t="s">
        <v>60</v>
      </c>
      <c r="Q64" s="37"/>
      <c r="R64" s="37"/>
      <c r="S64" s="37"/>
    </row>
    <row r="65" spans="1:19">
      <c r="A65" s="4" t="s">
        <v>88</v>
      </c>
      <c r="B65" s="3">
        <v>4</v>
      </c>
      <c r="C65" s="3" t="s">
        <v>475</v>
      </c>
      <c r="D65" s="3" t="s">
        <v>64</v>
      </c>
      <c r="E65" s="3"/>
      <c r="F65" s="3"/>
      <c r="G65" s="3" t="s">
        <v>62</v>
      </c>
      <c r="H65" s="3" t="s">
        <v>66</v>
      </c>
      <c r="I65" s="3"/>
      <c r="J65" s="3" t="s">
        <v>67</v>
      </c>
      <c r="K65" s="3"/>
      <c r="L65" s="4" t="s">
        <v>56</v>
      </c>
      <c r="M65" s="3"/>
      <c r="N65" s="3"/>
      <c r="O65" s="4" t="s">
        <v>59</v>
      </c>
      <c r="P65" s="4" t="s">
        <v>60</v>
      </c>
      <c r="Q65" s="37"/>
      <c r="R65" s="37"/>
      <c r="S65" s="37"/>
    </row>
    <row r="66" spans="1:19">
      <c r="A66" s="4" t="s">
        <v>878</v>
      </c>
      <c r="B66" s="3">
        <v>4</v>
      </c>
      <c r="C66" s="3" t="s">
        <v>471</v>
      </c>
      <c r="D66" s="3" t="s">
        <v>64</v>
      </c>
      <c r="E66" s="3" t="s">
        <v>65</v>
      </c>
      <c r="F66" s="3"/>
      <c r="G66" s="3"/>
      <c r="H66" s="3"/>
      <c r="I66" s="3" t="s">
        <v>63</v>
      </c>
      <c r="J66" s="3"/>
      <c r="K66" s="3" t="s">
        <v>69</v>
      </c>
      <c r="L66" s="3"/>
      <c r="M66" s="4" t="s">
        <v>57</v>
      </c>
      <c r="N66" s="4" t="s">
        <v>58</v>
      </c>
      <c r="O66" s="3"/>
      <c r="P66" s="4" t="s">
        <v>60</v>
      </c>
      <c r="Q66" s="37"/>
      <c r="R66" s="37"/>
      <c r="S66" s="37"/>
    </row>
    <row r="67" spans="1:19">
      <c r="A67" s="4" t="s">
        <v>2549</v>
      </c>
      <c r="B67" s="3">
        <v>4</v>
      </c>
      <c r="C67" s="3" t="s">
        <v>478</v>
      </c>
      <c r="D67" s="3"/>
      <c r="E67" s="3"/>
      <c r="F67" s="3" t="s">
        <v>61</v>
      </c>
      <c r="G67" s="3" t="s">
        <v>62</v>
      </c>
      <c r="H67" s="3" t="s">
        <v>66</v>
      </c>
      <c r="I67" s="3" t="s">
        <v>63</v>
      </c>
      <c r="J67" s="3"/>
      <c r="K67" s="3"/>
      <c r="L67" s="3"/>
      <c r="M67" s="4" t="s">
        <v>57</v>
      </c>
      <c r="N67" s="3"/>
      <c r="O67" s="3"/>
      <c r="P67" s="4" t="s">
        <v>60</v>
      </c>
      <c r="Q67" s="37"/>
      <c r="R67" s="37"/>
      <c r="S67" s="37"/>
    </row>
    <row r="68" spans="1:19">
      <c r="A68" s="4" t="s">
        <v>879</v>
      </c>
      <c r="B68" s="3">
        <v>5</v>
      </c>
      <c r="C68" s="3" t="s">
        <v>472</v>
      </c>
      <c r="D68" s="3" t="s">
        <v>64</v>
      </c>
      <c r="E68" s="3"/>
      <c r="F68" s="3" t="s">
        <v>61</v>
      </c>
      <c r="G68" s="3" t="s">
        <v>62</v>
      </c>
      <c r="H68" s="3" t="s">
        <v>66</v>
      </c>
      <c r="I68" s="3"/>
      <c r="J68" s="3"/>
      <c r="K68" s="3" t="s">
        <v>69</v>
      </c>
      <c r="L68" s="3"/>
      <c r="M68" s="3"/>
      <c r="N68" s="3"/>
      <c r="O68" s="4" t="s">
        <v>59</v>
      </c>
      <c r="P68" s="4" t="s">
        <v>60</v>
      </c>
      <c r="Q68" s="37"/>
      <c r="R68" s="37"/>
      <c r="S68" s="37"/>
    </row>
    <row r="69" spans="1:19">
      <c r="A69" s="4" t="s">
        <v>97</v>
      </c>
      <c r="B69" s="3">
        <v>5</v>
      </c>
      <c r="C69" s="3" t="s">
        <v>474</v>
      </c>
      <c r="D69" s="3" t="s">
        <v>64</v>
      </c>
      <c r="E69" s="3" t="s">
        <v>65</v>
      </c>
      <c r="F69" s="3" t="s">
        <v>61</v>
      </c>
      <c r="G69" s="3"/>
      <c r="H69" s="3"/>
      <c r="I69" s="3"/>
      <c r="J69" s="3"/>
      <c r="K69" s="3" t="s">
        <v>69</v>
      </c>
      <c r="L69" s="4" t="s">
        <v>56</v>
      </c>
      <c r="M69" s="3"/>
      <c r="N69" s="3"/>
      <c r="O69" s="4" t="s">
        <v>59</v>
      </c>
      <c r="P69" s="4" t="s">
        <v>60</v>
      </c>
      <c r="Q69" s="37"/>
      <c r="R69" s="37"/>
      <c r="S69" s="37"/>
    </row>
    <row r="70" spans="1:19">
      <c r="A70" s="4" t="s">
        <v>92</v>
      </c>
      <c r="B70" s="3">
        <v>5</v>
      </c>
      <c r="C70" s="3" t="s">
        <v>474</v>
      </c>
      <c r="D70" s="3"/>
      <c r="E70" s="3" t="s">
        <v>65</v>
      </c>
      <c r="F70" s="3"/>
      <c r="G70" s="3" t="s">
        <v>62</v>
      </c>
      <c r="H70" s="3" t="s">
        <v>66</v>
      </c>
      <c r="I70" s="3"/>
      <c r="J70" s="3"/>
      <c r="K70" s="3" t="s">
        <v>69</v>
      </c>
      <c r="L70" s="3"/>
      <c r="M70" s="4" t="s">
        <v>57</v>
      </c>
      <c r="N70" s="3"/>
      <c r="O70" s="4" t="s">
        <v>59</v>
      </c>
      <c r="P70" s="4" t="s">
        <v>60</v>
      </c>
      <c r="Q70" s="37"/>
      <c r="R70" s="37"/>
      <c r="S70" s="37"/>
    </row>
    <row r="71" spans="1:19">
      <c r="A71" s="4" t="s">
        <v>89</v>
      </c>
      <c r="B71" s="3">
        <v>5</v>
      </c>
      <c r="C71" s="3" t="s">
        <v>475</v>
      </c>
      <c r="D71" s="3" t="s">
        <v>64</v>
      </c>
      <c r="E71" s="3"/>
      <c r="F71" s="3"/>
      <c r="G71" s="3"/>
      <c r="H71" s="3"/>
      <c r="I71" s="3" t="s">
        <v>63</v>
      </c>
      <c r="J71" s="3" t="s">
        <v>67</v>
      </c>
      <c r="K71" s="3"/>
      <c r="L71" s="3"/>
      <c r="M71" s="4" t="s">
        <v>57</v>
      </c>
      <c r="N71" s="4" t="s">
        <v>58</v>
      </c>
      <c r="O71" s="4" t="s">
        <v>59</v>
      </c>
      <c r="P71" s="4" t="s">
        <v>60</v>
      </c>
      <c r="Q71" s="37"/>
      <c r="R71" s="37"/>
      <c r="S71" s="37"/>
    </row>
    <row r="72" spans="1:19">
      <c r="A72" s="4" t="s">
        <v>480</v>
      </c>
      <c r="B72" s="3">
        <v>5</v>
      </c>
      <c r="C72" s="3" t="s">
        <v>472</v>
      </c>
      <c r="D72" s="3"/>
      <c r="E72" s="3"/>
      <c r="F72" s="3" t="s">
        <v>61</v>
      </c>
      <c r="G72" s="3"/>
      <c r="H72" s="3" t="s">
        <v>66</v>
      </c>
      <c r="I72" s="3" t="s">
        <v>63</v>
      </c>
      <c r="J72" s="3"/>
      <c r="K72" s="3"/>
      <c r="L72" s="4" t="s">
        <v>56</v>
      </c>
      <c r="M72" s="4" t="s">
        <v>57</v>
      </c>
      <c r="N72" s="4" t="s">
        <v>58</v>
      </c>
      <c r="O72" s="3"/>
      <c r="P72" s="4" t="s">
        <v>60</v>
      </c>
      <c r="Q72" s="37"/>
      <c r="R72" s="37"/>
      <c r="S72" s="37"/>
    </row>
    <row r="73" spans="1:19">
      <c r="A73" s="4" t="s">
        <v>880</v>
      </c>
      <c r="B73" s="3">
        <v>5</v>
      </c>
      <c r="C73" s="3" t="s">
        <v>472</v>
      </c>
      <c r="D73" s="3"/>
      <c r="E73" s="3" t="s">
        <v>65</v>
      </c>
      <c r="F73" s="3" t="s">
        <v>61</v>
      </c>
      <c r="G73" s="3" t="s">
        <v>62</v>
      </c>
      <c r="H73" s="3"/>
      <c r="I73" s="3" t="s">
        <v>63</v>
      </c>
      <c r="J73" s="3"/>
      <c r="K73" s="3"/>
      <c r="L73" s="3"/>
      <c r="M73" s="4" t="s">
        <v>57</v>
      </c>
      <c r="N73" s="3"/>
      <c r="O73" s="4" t="s">
        <v>59</v>
      </c>
      <c r="P73" s="4" t="s">
        <v>60</v>
      </c>
      <c r="Q73" s="37"/>
      <c r="R73" s="37"/>
      <c r="S73" s="37"/>
    </row>
    <row r="74" spans="1:19">
      <c r="A74" s="4" t="s">
        <v>3854</v>
      </c>
      <c r="B74" s="3">
        <v>5</v>
      </c>
      <c r="C74" s="3" t="s">
        <v>478</v>
      </c>
      <c r="D74" s="3" t="s">
        <v>64</v>
      </c>
      <c r="E74" s="3"/>
      <c r="F74" s="3" t="s">
        <v>61</v>
      </c>
      <c r="G74" s="3"/>
      <c r="H74" s="3"/>
      <c r="I74" s="3"/>
      <c r="J74" s="3" t="s">
        <v>67</v>
      </c>
      <c r="K74" s="3" t="s">
        <v>69</v>
      </c>
      <c r="L74" s="4" t="s">
        <v>56</v>
      </c>
      <c r="M74" s="3"/>
      <c r="N74" s="3"/>
      <c r="O74" s="4" t="s">
        <v>59</v>
      </c>
      <c r="P74" s="4" t="s">
        <v>60</v>
      </c>
      <c r="Q74" s="37"/>
      <c r="R74" s="37"/>
      <c r="S74" s="37"/>
    </row>
    <row r="75" spans="1:19">
      <c r="A75" s="4" t="s">
        <v>90</v>
      </c>
      <c r="B75" s="3">
        <v>5</v>
      </c>
      <c r="C75" s="3" t="s">
        <v>478</v>
      </c>
      <c r="D75" s="3" t="s">
        <v>64</v>
      </c>
      <c r="E75" s="3"/>
      <c r="F75" s="3" t="s">
        <v>61</v>
      </c>
      <c r="G75" s="3" t="s">
        <v>62</v>
      </c>
      <c r="H75" s="3"/>
      <c r="I75" s="3"/>
      <c r="J75" s="3" t="s">
        <v>67</v>
      </c>
      <c r="K75" s="3" t="s">
        <v>69</v>
      </c>
      <c r="L75" s="4" t="s">
        <v>56</v>
      </c>
      <c r="M75" s="3"/>
      <c r="N75" s="3"/>
      <c r="O75" s="3"/>
      <c r="P75" s="4" t="s">
        <v>60</v>
      </c>
      <c r="Q75" s="37"/>
      <c r="R75" s="37"/>
      <c r="S75" s="37"/>
    </row>
    <row r="76" spans="1:19">
      <c r="A76" s="4" t="s">
        <v>75</v>
      </c>
      <c r="B76" s="3">
        <v>4</v>
      </c>
      <c r="C76" s="3" t="s">
        <v>474</v>
      </c>
      <c r="D76" s="3" t="s">
        <v>64</v>
      </c>
      <c r="E76" s="3" t="s">
        <v>65</v>
      </c>
      <c r="F76" s="3" t="s">
        <v>61</v>
      </c>
      <c r="G76" s="3"/>
      <c r="H76" s="3"/>
      <c r="I76" s="3"/>
      <c r="J76" s="3"/>
      <c r="K76" s="3" t="s">
        <v>69</v>
      </c>
      <c r="L76" s="3"/>
      <c r="M76" s="4" t="s">
        <v>57</v>
      </c>
      <c r="N76" s="3"/>
      <c r="O76" s="3"/>
      <c r="P76" s="4" t="s">
        <v>60</v>
      </c>
      <c r="Q76" s="37"/>
      <c r="R76" s="37"/>
      <c r="S76" s="37"/>
    </row>
    <row r="77" spans="1:19">
      <c r="A77" s="4" t="s">
        <v>493</v>
      </c>
      <c r="B77" s="3">
        <v>4</v>
      </c>
      <c r="C77" s="3" t="s">
        <v>472</v>
      </c>
      <c r="D77" s="3" t="s">
        <v>64</v>
      </c>
      <c r="E77" s="3" t="s">
        <v>65</v>
      </c>
      <c r="F77" s="3" t="s">
        <v>61</v>
      </c>
      <c r="G77" s="3"/>
      <c r="H77" s="3"/>
      <c r="I77" s="3"/>
      <c r="J77" s="3"/>
      <c r="K77" s="3"/>
      <c r="L77" s="4" t="s">
        <v>56</v>
      </c>
      <c r="M77" s="3"/>
      <c r="N77" s="3"/>
      <c r="O77" s="4" t="s">
        <v>59</v>
      </c>
      <c r="P77" s="4" t="s">
        <v>60</v>
      </c>
      <c r="Q77" s="37"/>
      <c r="R77" s="37"/>
      <c r="S77" s="37"/>
    </row>
    <row r="78" spans="1:19">
      <c r="A78" s="4" t="s">
        <v>72</v>
      </c>
      <c r="B78" s="3">
        <v>4</v>
      </c>
      <c r="C78" s="3" t="s">
        <v>474</v>
      </c>
      <c r="D78" s="3" t="s">
        <v>64</v>
      </c>
      <c r="E78" s="3" t="s">
        <v>65</v>
      </c>
      <c r="F78" s="3"/>
      <c r="G78" s="3"/>
      <c r="H78" s="3" t="s">
        <v>66</v>
      </c>
      <c r="I78" s="3"/>
      <c r="J78" s="3"/>
      <c r="K78" s="3" t="s">
        <v>69</v>
      </c>
      <c r="L78" s="3"/>
      <c r="M78" s="3"/>
      <c r="N78" s="3"/>
      <c r="O78" s="4" t="s">
        <v>59</v>
      </c>
      <c r="P78" s="4" t="s">
        <v>60</v>
      </c>
      <c r="Q78" s="37"/>
      <c r="R78" s="37"/>
      <c r="S78" s="37"/>
    </row>
    <row r="79" spans="1:19">
      <c r="A79" s="4" t="s">
        <v>37</v>
      </c>
      <c r="B79" s="3">
        <v>4</v>
      </c>
      <c r="C79" s="3" t="s">
        <v>474</v>
      </c>
      <c r="D79" s="3"/>
      <c r="E79" s="3" t="s">
        <v>65</v>
      </c>
      <c r="F79" s="3"/>
      <c r="G79" s="3"/>
      <c r="H79" s="3" t="s">
        <v>66</v>
      </c>
      <c r="I79" s="3"/>
      <c r="J79" s="3" t="s">
        <v>67</v>
      </c>
      <c r="K79" s="3" t="s">
        <v>69</v>
      </c>
      <c r="L79" s="3"/>
      <c r="M79" s="3"/>
      <c r="N79" s="3"/>
      <c r="O79" s="4" t="s">
        <v>59</v>
      </c>
      <c r="P79" s="4" t="s">
        <v>60</v>
      </c>
      <c r="Q79" s="37"/>
      <c r="R79" s="37"/>
      <c r="S79" s="37"/>
    </row>
    <row r="80" spans="1:19">
      <c r="A80" s="4" t="s">
        <v>68</v>
      </c>
      <c r="B80" s="3">
        <v>4</v>
      </c>
      <c r="C80" s="3" t="s">
        <v>474</v>
      </c>
      <c r="D80" s="3"/>
      <c r="E80" s="3" t="s">
        <v>65</v>
      </c>
      <c r="F80" s="3" t="s">
        <v>61</v>
      </c>
      <c r="G80" s="3"/>
      <c r="H80" s="3"/>
      <c r="I80" s="3"/>
      <c r="J80" s="3" t="s">
        <v>67</v>
      </c>
      <c r="K80" s="3" t="s">
        <v>69</v>
      </c>
      <c r="L80" s="3"/>
      <c r="M80" s="4" t="s">
        <v>57</v>
      </c>
      <c r="N80" s="3"/>
      <c r="O80" s="3"/>
      <c r="P80" s="4" t="s">
        <v>60</v>
      </c>
      <c r="Q80" s="37"/>
      <c r="R80" s="37"/>
      <c r="S80" s="37"/>
    </row>
    <row r="81" spans="1:19">
      <c r="A81" s="4" t="s">
        <v>79</v>
      </c>
      <c r="B81" s="3">
        <v>4</v>
      </c>
      <c r="C81" s="3" t="s">
        <v>478</v>
      </c>
      <c r="D81" s="3" t="s">
        <v>64</v>
      </c>
      <c r="E81" s="3"/>
      <c r="F81" s="3"/>
      <c r="G81" s="3" t="s">
        <v>62</v>
      </c>
      <c r="H81" s="3"/>
      <c r="I81" s="3"/>
      <c r="J81" s="3"/>
      <c r="K81" s="3"/>
      <c r="L81" s="4" t="s">
        <v>56</v>
      </c>
      <c r="M81" s="3"/>
      <c r="N81" s="4" t="s">
        <v>58</v>
      </c>
      <c r="O81" s="4" t="s">
        <v>59</v>
      </c>
      <c r="P81" s="4" t="s">
        <v>60</v>
      </c>
      <c r="Q81" s="37"/>
      <c r="R81" s="37"/>
      <c r="S81" s="37"/>
    </row>
    <row r="82" spans="1:19">
      <c r="A82" s="4" t="s">
        <v>71</v>
      </c>
      <c r="B82" s="3">
        <v>4</v>
      </c>
      <c r="C82" s="3" t="s">
        <v>475</v>
      </c>
      <c r="D82" s="3"/>
      <c r="E82" s="3"/>
      <c r="F82" s="3"/>
      <c r="G82" s="3" t="s">
        <v>62</v>
      </c>
      <c r="H82" s="3" t="s">
        <v>66</v>
      </c>
      <c r="I82" s="3"/>
      <c r="J82" s="3"/>
      <c r="K82" s="3" t="s">
        <v>69</v>
      </c>
      <c r="L82" s="4" t="s">
        <v>56</v>
      </c>
      <c r="M82" s="3"/>
      <c r="N82" s="4" t="s">
        <v>58</v>
      </c>
      <c r="O82" s="3"/>
      <c r="P82" s="4" t="s">
        <v>60</v>
      </c>
      <c r="Q82" s="37"/>
      <c r="R82" s="37"/>
      <c r="S82" s="37"/>
    </row>
    <row r="83" spans="1:19">
      <c r="A83" s="4" t="s">
        <v>479</v>
      </c>
      <c r="B83" s="3">
        <v>4</v>
      </c>
      <c r="C83" s="3" t="s">
        <v>474</v>
      </c>
      <c r="D83" s="3" t="s">
        <v>64</v>
      </c>
      <c r="E83" s="3"/>
      <c r="F83" s="3"/>
      <c r="G83" s="3"/>
      <c r="H83" s="3"/>
      <c r="I83" s="3" t="s">
        <v>63</v>
      </c>
      <c r="J83" s="3"/>
      <c r="K83" s="3" t="s">
        <v>69</v>
      </c>
      <c r="L83" s="4" t="s">
        <v>56</v>
      </c>
      <c r="M83" s="3"/>
      <c r="N83" s="4" t="s">
        <v>58</v>
      </c>
      <c r="O83" s="3"/>
      <c r="P83" s="4" t="s">
        <v>60</v>
      </c>
      <c r="Q83" s="37"/>
      <c r="R83" s="37"/>
      <c r="S83" s="37"/>
    </row>
    <row r="84" spans="1:19">
      <c r="A84" s="4" t="s">
        <v>95</v>
      </c>
      <c r="B84" s="3">
        <v>4</v>
      </c>
      <c r="C84" s="3" t="s">
        <v>475</v>
      </c>
      <c r="D84" s="3"/>
      <c r="E84" s="3"/>
      <c r="F84" s="3" t="s">
        <v>61</v>
      </c>
      <c r="G84" s="3" t="s">
        <v>62</v>
      </c>
      <c r="H84" s="3"/>
      <c r="I84" s="3"/>
      <c r="J84" s="3" t="s">
        <v>67</v>
      </c>
      <c r="K84" s="3"/>
      <c r="L84" s="3"/>
      <c r="M84" s="4" t="s">
        <v>57</v>
      </c>
      <c r="N84" s="3"/>
      <c r="O84" s="4" t="s">
        <v>59</v>
      </c>
      <c r="P84" s="4" t="s">
        <v>60</v>
      </c>
      <c r="Q84" s="37"/>
      <c r="R84" s="37"/>
      <c r="S84" s="37"/>
    </row>
    <row r="85" spans="1:19">
      <c r="A85" s="4" t="s">
        <v>3462</v>
      </c>
      <c r="B85" s="3">
        <v>4</v>
      </c>
      <c r="C85" s="3" t="s">
        <v>472</v>
      </c>
      <c r="D85" s="3" t="s">
        <v>64</v>
      </c>
      <c r="E85" s="3" t="s">
        <v>65</v>
      </c>
      <c r="F85" s="3" t="s">
        <v>61</v>
      </c>
      <c r="G85" s="3"/>
      <c r="H85" s="3"/>
      <c r="I85" s="3"/>
      <c r="J85" s="3"/>
      <c r="K85" s="3" t="s">
        <v>69</v>
      </c>
      <c r="L85" s="3"/>
      <c r="M85" s="4" t="s">
        <v>57</v>
      </c>
      <c r="N85" s="3"/>
      <c r="O85" s="3"/>
      <c r="P85" s="4" t="s">
        <v>60</v>
      </c>
      <c r="Q85" s="37"/>
      <c r="R85" s="37"/>
      <c r="S85" s="37"/>
    </row>
    <row r="86" spans="1:19">
      <c r="A86" s="4" t="s">
        <v>87</v>
      </c>
      <c r="B86" s="3">
        <v>6</v>
      </c>
      <c r="C86" s="3" t="s">
        <v>472</v>
      </c>
      <c r="D86" s="3" t="s">
        <v>64</v>
      </c>
      <c r="E86" s="3" t="s">
        <v>65</v>
      </c>
      <c r="F86" s="3" t="s">
        <v>61</v>
      </c>
      <c r="G86" s="3"/>
      <c r="H86" s="3"/>
      <c r="I86" s="3" t="s">
        <v>63</v>
      </c>
      <c r="J86" s="3"/>
      <c r="K86" s="3"/>
      <c r="L86" s="3"/>
      <c r="M86" s="4" t="s">
        <v>57</v>
      </c>
      <c r="N86" s="4" t="s">
        <v>58</v>
      </c>
      <c r="O86" s="4" t="s">
        <v>59</v>
      </c>
      <c r="P86" s="4" t="s">
        <v>60</v>
      </c>
      <c r="Q86" s="37"/>
      <c r="R86" s="37"/>
      <c r="S86" s="37"/>
    </row>
    <row r="87" spans="1:19">
      <c r="A87" s="4" t="s">
        <v>498</v>
      </c>
      <c r="B87" s="3">
        <v>6</v>
      </c>
      <c r="C87" s="3" t="s">
        <v>475</v>
      </c>
      <c r="D87" s="3" t="s">
        <v>64</v>
      </c>
      <c r="E87" s="3" t="s">
        <v>65</v>
      </c>
      <c r="F87" s="3" t="s">
        <v>61</v>
      </c>
      <c r="G87" s="3"/>
      <c r="H87" s="3" t="s">
        <v>66</v>
      </c>
      <c r="I87" s="3" t="s">
        <v>63</v>
      </c>
      <c r="J87" s="3"/>
      <c r="K87" s="3" t="s">
        <v>69</v>
      </c>
      <c r="L87" s="3"/>
      <c r="M87" s="4" t="s">
        <v>57</v>
      </c>
      <c r="N87" s="4"/>
      <c r="O87" s="3"/>
      <c r="P87" s="4" t="s">
        <v>60</v>
      </c>
      <c r="Q87" s="37"/>
      <c r="R87" s="37"/>
      <c r="S87" s="37"/>
    </row>
    <row r="88" spans="1:19">
      <c r="A88" s="4" t="s">
        <v>499</v>
      </c>
      <c r="B88" s="3">
        <v>6</v>
      </c>
      <c r="C88" s="3" t="s">
        <v>475</v>
      </c>
      <c r="D88" s="3" t="s">
        <v>64</v>
      </c>
      <c r="E88" s="3" t="s">
        <v>65</v>
      </c>
      <c r="F88" s="3" t="s">
        <v>61</v>
      </c>
      <c r="G88" s="3"/>
      <c r="H88" s="3"/>
      <c r="I88" s="3"/>
      <c r="J88" s="3"/>
      <c r="K88" s="3" t="s">
        <v>69</v>
      </c>
      <c r="L88" s="3"/>
      <c r="M88" s="4" t="s">
        <v>57</v>
      </c>
      <c r="N88" s="4" t="s">
        <v>58</v>
      </c>
      <c r="O88" s="4" t="s">
        <v>59</v>
      </c>
      <c r="P88" s="4" t="s">
        <v>60</v>
      </c>
      <c r="Q88" s="37"/>
      <c r="R88" s="37"/>
      <c r="S88" s="37"/>
    </row>
    <row r="89" spans="1:19">
      <c r="A89" s="4" t="s">
        <v>2470</v>
      </c>
      <c r="B89" s="3">
        <v>2</v>
      </c>
      <c r="C89" s="3" t="s">
        <v>2492</v>
      </c>
      <c r="D89" s="3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4"/>
      <c r="Q89" s="37"/>
      <c r="R89" s="37"/>
      <c r="S89" s="37"/>
    </row>
    <row r="90" spans="1:19">
      <c r="A90" s="4" t="s">
        <v>2493</v>
      </c>
      <c r="B90" s="3">
        <v>2</v>
      </c>
      <c r="C90" s="3" t="s">
        <v>2492</v>
      </c>
      <c r="D90" s="3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4"/>
      <c r="Q90" s="37"/>
      <c r="R90" s="37"/>
      <c r="S90" s="37"/>
    </row>
    <row r="91" spans="1:19">
      <c r="A91" s="4" t="s">
        <v>884</v>
      </c>
      <c r="B91" s="3">
        <v>4</v>
      </c>
      <c r="C91" s="3" t="s">
        <v>471</v>
      </c>
      <c r="D91" s="3"/>
      <c r="E91" s="3" t="s">
        <v>65</v>
      </c>
      <c r="F91" s="3"/>
      <c r="G91" s="3" t="s">
        <v>62</v>
      </c>
      <c r="H91" s="3" t="s">
        <v>66</v>
      </c>
      <c r="I91" s="3"/>
      <c r="J91" s="3"/>
      <c r="K91" s="3" t="s">
        <v>69</v>
      </c>
      <c r="L91" s="3"/>
      <c r="M91" s="4" t="s">
        <v>57</v>
      </c>
      <c r="N91" s="3"/>
      <c r="O91" s="3"/>
      <c r="P91" s="4" t="s">
        <v>60</v>
      </c>
      <c r="Q91" s="37"/>
      <c r="R91" s="37"/>
      <c r="S91" s="37"/>
    </row>
    <row r="92" spans="1:19">
      <c r="A92" s="4" t="s">
        <v>490</v>
      </c>
      <c r="B92" s="3">
        <v>4</v>
      </c>
      <c r="C92" s="3" t="s">
        <v>478</v>
      </c>
      <c r="D92" s="3" t="s">
        <v>64</v>
      </c>
      <c r="E92" s="3" t="s">
        <v>65</v>
      </c>
      <c r="F92" s="3" t="s">
        <v>61</v>
      </c>
      <c r="G92" s="3"/>
      <c r="H92" s="3"/>
      <c r="I92" s="3"/>
      <c r="J92" s="3" t="s">
        <v>67</v>
      </c>
      <c r="K92" s="3"/>
      <c r="L92" s="4" t="s">
        <v>56</v>
      </c>
      <c r="M92" s="3"/>
      <c r="N92" s="3"/>
      <c r="O92" s="3"/>
      <c r="P92" s="4" t="s">
        <v>60</v>
      </c>
      <c r="Q92" s="37"/>
      <c r="R92" s="37"/>
      <c r="S92" s="37"/>
    </row>
    <row r="93" spans="1:19">
      <c r="A93" s="4" t="s">
        <v>885</v>
      </c>
      <c r="B93" s="3">
        <v>4</v>
      </c>
      <c r="C93" s="3" t="s">
        <v>475</v>
      </c>
      <c r="D93" s="3"/>
      <c r="E93" s="3" t="s">
        <v>65</v>
      </c>
      <c r="F93" s="3"/>
      <c r="G93" s="3"/>
      <c r="H93" s="3"/>
      <c r="I93" s="3" t="s">
        <v>63</v>
      </c>
      <c r="J93" s="3" t="s">
        <v>67</v>
      </c>
      <c r="K93" s="3"/>
      <c r="L93" s="4" t="s">
        <v>56</v>
      </c>
      <c r="M93" s="3"/>
      <c r="N93" s="3"/>
      <c r="O93" s="4" t="s">
        <v>59</v>
      </c>
      <c r="P93" s="4" t="s">
        <v>60</v>
      </c>
      <c r="Q93" s="37"/>
      <c r="R93" s="37"/>
      <c r="S93" s="37"/>
    </row>
    <row r="94" spans="1:19">
      <c r="A94" s="4" t="s">
        <v>486</v>
      </c>
      <c r="B94" s="3">
        <v>4</v>
      </c>
      <c r="C94" s="3" t="s">
        <v>474</v>
      </c>
      <c r="D94" s="3"/>
      <c r="E94" s="3" t="s">
        <v>65</v>
      </c>
      <c r="F94" s="3"/>
      <c r="G94" s="3"/>
      <c r="H94" s="3"/>
      <c r="I94" s="3"/>
      <c r="J94" s="3"/>
      <c r="K94" s="3" t="s">
        <v>69</v>
      </c>
      <c r="L94" s="4" t="s">
        <v>56</v>
      </c>
      <c r="M94" s="4" t="s">
        <v>57</v>
      </c>
      <c r="N94" s="4" t="s">
        <v>58</v>
      </c>
      <c r="O94" s="3"/>
      <c r="P94" s="4" t="s">
        <v>60</v>
      </c>
      <c r="Q94" s="37"/>
      <c r="R94" s="37"/>
      <c r="S94" s="37"/>
    </row>
    <row r="95" spans="1:19">
      <c r="A95" s="4" t="s">
        <v>477</v>
      </c>
      <c r="B95" s="3">
        <v>4</v>
      </c>
      <c r="C95" s="3" t="s">
        <v>472</v>
      </c>
      <c r="D95" s="3" t="s">
        <v>64</v>
      </c>
      <c r="E95" s="3"/>
      <c r="F95" s="3" t="s">
        <v>61</v>
      </c>
      <c r="G95" s="3"/>
      <c r="H95" s="3"/>
      <c r="I95" s="3"/>
      <c r="J95" s="3"/>
      <c r="K95" s="3" t="s">
        <v>69</v>
      </c>
      <c r="L95" s="4" t="s">
        <v>56</v>
      </c>
      <c r="M95" s="4" t="s">
        <v>57</v>
      </c>
      <c r="N95" s="3"/>
      <c r="O95" s="3"/>
      <c r="P95" s="4" t="s">
        <v>60</v>
      </c>
      <c r="Q95" s="37"/>
      <c r="R95" s="37"/>
      <c r="S95" s="37"/>
    </row>
    <row r="96" spans="1:19">
      <c r="A96" s="4" t="s">
        <v>481</v>
      </c>
      <c r="B96" s="3">
        <v>4</v>
      </c>
      <c r="C96" s="3" t="s">
        <v>475</v>
      </c>
      <c r="D96" s="3"/>
      <c r="E96" s="3" t="s">
        <v>65</v>
      </c>
      <c r="F96" s="3"/>
      <c r="G96" s="3"/>
      <c r="H96" s="3" t="s">
        <v>66</v>
      </c>
      <c r="I96" s="3" t="s">
        <v>63</v>
      </c>
      <c r="J96" s="3" t="s">
        <v>67</v>
      </c>
      <c r="K96" s="3" t="s">
        <v>69</v>
      </c>
      <c r="L96" s="3"/>
      <c r="M96" s="4" t="s">
        <v>57</v>
      </c>
      <c r="N96" s="4" t="s">
        <v>58</v>
      </c>
      <c r="O96" s="3"/>
      <c r="P96" s="4"/>
      <c r="Q96" s="37"/>
      <c r="R96" s="37"/>
      <c r="S96" s="37"/>
    </row>
    <row r="97" spans="1:19">
      <c r="A97" s="4" t="s">
        <v>473</v>
      </c>
      <c r="B97" s="3">
        <v>5</v>
      </c>
      <c r="C97" s="3" t="s">
        <v>474</v>
      </c>
      <c r="D97" s="3" t="s">
        <v>64</v>
      </c>
      <c r="E97" s="3" t="s">
        <v>65</v>
      </c>
      <c r="F97" s="3" t="s">
        <v>61</v>
      </c>
      <c r="G97" s="3"/>
      <c r="H97" s="3"/>
      <c r="I97" s="3"/>
      <c r="J97" s="3"/>
      <c r="K97" s="3" t="s">
        <v>69</v>
      </c>
      <c r="L97" s="4" t="s">
        <v>56</v>
      </c>
      <c r="M97" s="3"/>
      <c r="N97" s="3"/>
      <c r="O97" s="4" t="s">
        <v>59</v>
      </c>
      <c r="P97" s="4" t="s">
        <v>60</v>
      </c>
      <c r="Q97" s="37"/>
      <c r="R97" s="37"/>
      <c r="S97" s="37"/>
    </row>
    <row r="98" spans="1:19">
      <c r="A98" s="4" t="s">
        <v>482</v>
      </c>
      <c r="B98" s="3">
        <v>4</v>
      </c>
      <c r="C98" s="3" t="s">
        <v>472</v>
      </c>
      <c r="D98" s="3"/>
      <c r="E98" s="3" t="s">
        <v>65</v>
      </c>
      <c r="F98" s="3" t="s">
        <v>61</v>
      </c>
      <c r="G98" s="3" t="s">
        <v>62</v>
      </c>
      <c r="H98" s="3"/>
      <c r="I98" s="3"/>
      <c r="J98" s="3"/>
      <c r="K98" s="3" t="s">
        <v>69</v>
      </c>
      <c r="L98" s="3"/>
      <c r="M98" s="4" t="s">
        <v>57</v>
      </c>
      <c r="N98" s="4" t="s">
        <v>58</v>
      </c>
      <c r="O98" s="3"/>
      <c r="P98" s="4" t="s">
        <v>60</v>
      </c>
      <c r="Q98" s="37"/>
      <c r="R98" s="37"/>
      <c r="S98" s="37"/>
    </row>
    <row r="99" spans="1:19">
      <c r="A99" s="4" t="s">
        <v>500</v>
      </c>
      <c r="B99" s="3">
        <v>6</v>
      </c>
      <c r="C99" s="3" t="s">
        <v>478</v>
      </c>
      <c r="D99" s="3"/>
      <c r="E99" s="3"/>
      <c r="F99" s="3"/>
      <c r="G99" s="3" t="s">
        <v>62</v>
      </c>
      <c r="H99" s="3" t="s">
        <v>66</v>
      </c>
      <c r="I99" s="3"/>
      <c r="J99" s="3" t="s">
        <v>67</v>
      </c>
      <c r="K99" s="3"/>
      <c r="L99" s="4" t="s">
        <v>56</v>
      </c>
      <c r="M99" s="4" t="s">
        <v>57</v>
      </c>
      <c r="N99" s="4" t="s">
        <v>58</v>
      </c>
      <c r="O99" s="4" t="s">
        <v>59</v>
      </c>
      <c r="P99" s="4" t="s">
        <v>60</v>
      </c>
      <c r="Q99" s="37"/>
      <c r="R99" s="37"/>
      <c r="S99" s="37"/>
    </row>
    <row r="100" spans="1:19">
      <c r="A100" s="6" t="s">
        <v>892</v>
      </c>
      <c r="B100" s="6">
        <v>5</v>
      </c>
      <c r="C100" s="3" t="s">
        <v>472</v>
      </c>
      <c r="D100" s="3" t="s">
        <v>48</v>
      </c>
      <c r="E100" s="3" t="s">
        <v>65</v>
      </c>
      <c r="F100" s="3" t="s">
        <v>61</v>
      </c>
      <c r="G100" s="6"/>
      <c r="H100" s="3" t="s">
        <v>66</v>
      </c>
      <c r="I100" s="3"/>
      <c r="J100" s="3" t="s">
        <v>67</v>
      </c>
      <c r="K100" s="6"/>
      <c r="L100" s="4" t="s">
        <v>56</v>
      </c>
      <c r="M100" s="6"/>
      <c r="N100" s="6"/>
      <c r="O100" s="4" t="s">
        <v>59</v>
      </c>
      <c r="P100" s="4" t="s">
        <v>60</v>
      </c>
      <c r="Q100" s="4"/>
      <c r="R100" s="4" t="s">
        <v>2249</v>
      </c>
      <c r="S100" s="4"/>
    </row>
    <row r="101" spans="1:19">
      <c r="A101" s="6" t="s">
        <v>893</v>
      </c>
      <c r="B101" s="6">
        <v>5</v>
      </c>
      <c r="C101" s="3" t="s">
        <v>474</v>
      </c>
      <c r="D101" s="3" t="s">
        <v>64</v>
      </c>
      <c r="E101" s="3" t="s">
        <v>65</v>
      </c>
      <c r="F101" s="3" t="s">
        <v>61</v>
      </c>
      <c r="G101" s="3" t="s">
        <v>62</v>
      </c>
      <c r="H101" s="3" t="s">
        <v>66</v>
      </c>
      <c r="I101" s="6"/>
      <c r="J101" s="6"/>
      <c r="K101" s="3" t="s">
        <v>69</v>
      </c>
      <c r="L101" s="4" t="s">
        <v>56</v>
      </c>
      <c r="M101" s="4" t="s">
        <v>57</v>
      </c>
      <c r="N101" s="6"/>
      <c r="O101" s="6"/>
      <c r="P101" s="6"/>
      <c r="Q101" s="4"/>
      <c r="R101" s="4"/>
      <c r="S101" s="4" t="s">
        <v>2250</v>
      </c>
    </row>
    <row r="102" spans="1:19">
      <c r="A102" s="6" t="s">
        <v>894</v>
      </c>
      <c r="B102" s="6">
        <v>5</v>
      </c>
      <c r="C102" s="3" t="s">
        <v>474</v>
      </c>
      <c r="D102" s="3" t="s">
        <v>64</v>
      </c>
      <c r="E102" s="3" t="s">
        <v>65</v>
      </c>
      <c r="F102" s="6"/>
      <c r="G102" s="6"/>
      <c r="H102" s="6"/>
      <c r="I102" s="3" t="s">
        <v>63</v>
      </c>
      <c r="J102" s="6"/>
      <c r="K102" s="3" t="s">
        <v>69</v>
      </c>
      <c r="L102" s="6"/>
      <c r="M102" s="4" t="s">
        <v>57</v>
      </c>
      <c r="N102" s="4" t="s">
        <v>58</v>
      </c>
      <c r="O102" s="4" t="s">
        <v>59</v>
      </c>
      <c r="P102" s="4" t="s">
        <v>60</v>
      </c>
      <c r="Q102" s="4"/>
      <c r="R102" s="4" t="s">
        <v>2249</v>
      </c>
      <c r="S102" s="4" t="s">
        <v>2250</v>
      </c>
    </row>
    <row r="103" spans="1:19">
      <c r="A103" s="6" t="s">
        <v>895</v>
      </c>
      <c r="B103" s="6">
        <v>5</v>
      </c>
      <c r="C103" s="3" t="s">
        <v>475</v>
      </c>
      <c r="D103" s="3" t="s">
        <v>64</v>
      </c>
      <c r="E103" s="6"/>
      <c r="F103" s="3" t="s">
        <v>61</v>
      </c>
      <c r="G103" s="3" t="s">
        <v>62</v>
      </c>
      <c r="H103" s="6"/>
      <c r="I103" s="3" t="s">
        <v>63</v>
      </c>
      <c r="J103" s="6"/>
      <c r="K103" s="3" t="s">
        <v>69</v>
      </c>
      <c r="L103" s="4" t="s">
        <v>56</v>
      </c>
      <c r="M103" s="6"/>
      <c r="N103" s="4" t="s">
        <v>58</v>
      </c>
      <c r="O103" s="6"/>
      <c r="P103" s="4" t="s">
        <v>60</v>
      </c>
      <c r="Q103" s="4"/>
      <c r="R103" s="4"/>
      <c r="S103" s="4" t="s">
        <v>2250</v>
      </c>
    </row>
    <row r="104" spans="1:19">
      <c r="A104" s="6" t="s">
        <v>896</v>
      </c>
      <c r="B104" s="6">
        <v>5</v>
      </c>
      <c r="C104" s="3" t="s">
        <v>475</v>
      </c>
      <c r="D104" s="3" t="s">
        <v>64</v>
      </c>
      <c r="E104" s="6"/>
      <c r="F104" s="3" t="s">
        <v>61</v>
      </c>
      <c r="G104" s="6"/>
      <c r="H104" s="3" t="s">
        <v>66</v>
      </c>
      <c r="I104" s="3" t="s">
        <v>63</v>
      </c>
      <c r="J104" s="3" t="s">
        <v>67</v>
      </c>
      <c r="K104" s="6"/>
      <c r="L104" s="4" t="s">
        <v>56</v>
      </c>
      <c r="M104" s="4" t="s">
        <v>57</v>
      </c>
      <c r="N104" s="6"/>
      <c r="O104" s="6"/>
      <c r="P104" s="4" t="s">
        <v>60</v>
      </c>
      <c r="Q104" s="4" t="s">
        <v>2248</v>
      </c>
      <c r="R104" s="4"/>
      <c r="S104" s="4"/>
    </row>
    <row r="105" spans="1:19">
      <c r="A105" s="6" t="s">
        <v>897</v>
      </c>
      <c r="B105" s="6">
        <v>5</v>
      </c>
      <c r="C105" s="3" t="s">
        <v>478</v>
      </c>
      <c r="D105" s="6"/>
      <c r="E105" s="3" t="s">
        <v>65</v>
      </c>
      <c r="F105" s="6"/>
      <c r="G105" s="6"/>
      <c r="H105" s="3" t="s">
        <v>66</v>
      </c>
      <c r="I105" s="3" t="s">
        <v>63</v>
      </c>
      <c r="J105" s="6"/>
      <c r="K105" s="3" t="s">
        <v>69</v>
      </c>
      <c r="L105" s="4" t="s">
        <v>56</v>
      </c>
      <c r="M105" s="6"/>
      <c r="N105" s="4" t="s">
        <v>58</v>
      </c>
      <c r="O105" s="4" t="s">
        <v>59</v>
      </c>
      <c r="P105" s="4" t="s">
        <v>60</v>
      </c>
      <c r="Q105" s="4" t="s">
        <v>2248</v>
      </c>
      <c r="R105" s="4"/>
      <c r="S105" s="4"/>
    </row>
    <row r="106" spans="1:19">
      <c r="A106" s="6" t="s">
        <v>898</v>
      </c>
      <c r="B106" s="6">
        <v>5</v>
      </c>
      <c r="C106" s="3" t="s">
        <v>472</v>
      </c>
      <c r="D106" s="3" t="s">
        <v>64</v>
      </c>
      <c r="E106" s="3" t="s">
        <v>65</v>
      </c>
      <c r="F106" s="3" t="s">
        <v>61</v>
      </c>
      <c r="G106" s="6"/>
      <c r="H106" s="6"/>
      <c r="I106" s="3" t="s">
        <v>63</v>
      </c>
      <c r="J106" s="3" t="s">
        <v>67</v>
      </c>
      <c r="K106" s="6"/>
      <c r="L106" s="4" t="s">
        <v>56</v>
      </c>
      <c r="M106" s="4" t="s">
        <v>57</v>
      </c>
      <c r="N106" s="4" t="s">
        <v>58</v>
      </c>
      <c r="O106" s="6"/>
      <c r="P106" s="6"/>
      <c r="Q106" s="4"/>
      <c r="R106" s="4" t="s">
        <v>2249</v>
      </c>
      <c r="S106" s="4"/>
    </row>
    <row r="107" spans="1:19">
      <c r="A107" s="6" t="s">
        <v>2551</v>
      </c>
      <c r="B107" s="6">
        <v>5</v>
      </c>
      <c r="C107" s="3" t="s">
        <v>471</v>
      </c>
      <c r="D107" s="6"/>
      <c r="E107" s="3" t="s">
        <v>65</v>
      </c>
      <c r="F107" s="6"/>
      <c r="G107" s="3" t="s">
        <v>62</v>
      </c>
      <c r="H107" s="3" t="s">
        <v>66</v>
      </c>
      <c r="I107" s="3" t="s">
        <v>63</v>
      </c>
      <c r="J107" s="6"/>
      <c r="K107" s="3" t="s">
        <v>69</v>
      </c>
      <c r="L107" s="4" t="s">
        <v>56</v>
      </c>
      <c r="M107" s="4" t="s">
        <v>57</v>
      </c>
      <c r="N107" s="6"/>
      <c r="O107" s="6"/>
      <c r="P107" s="4" t="s">
        <v>60</v>
      </c>
      <c r="Q107" s="4" t="s">
        <v>2248</v>
      </c>
      <c r="R107" s="4"/>
      <c r="S107" s="4"/>
    </row>
    <row r="108" spans="1:19">
      <c r="A108" s="6" t="s">
        <v>1786</v>
      </c>
      <c r="B108" s="6">
        <v>6</v>
      </c>
      <c r="C108" s="3" t="s">
        <v>475</v>
      </c>
      <c r="D108" s="6"/>
      <c r="E108" s="3" t="s">
        <v>65</v>
      </c>
      <c r="F108" s="6"/>
      <c r="G108" s="3" t="s">
        <v>62</v>
      </c>
      <c r="H108" s="3" t="s">
        <v>66</v>
      </c>
      <c r="I108" s="3" t="s">
        <v>63</v>
      </c>
      <c r="J108" s="6"/>
      <c r="K108" s="3" t="s">
        <v>69</v>
      </c>
      <c r="L108" s="4" t="s">
        <v>56</v>
      </c>
      <c r="M108" s="4" t="s">
        <v>57</v>
      </c>
      <c r="N108" s="6"/>
      <c r="O108" s="6"/>
      <c r="P108" s="4" t="s">
        <v>60</v>
      </c>
      <c r="Q108" s="4"/>
      <c r="R108" s="4"/>
      <c r="S108" s="4"/>
    </row>
    <row r="109" spans="1:19">
      <c r="A109" s="6" t="s">
        <v>2734</v>
      </c>
      <c r="B109" s="6">
        <v>5</v>
      </c>
      <c r="C109" s="3" t="s">
        <v>478</v>
      </c>
      <c r="D109" s="6"/>
      <c r="E109" s="3" t="s">
        <v>65</v>
      </c>
      <c r="F109" s="3" t="s">
        <v>61</v>
      </c>
      <c r="G109" s="3" t="s">
        <v>62</v>
      </c>
      <c r="H109" s="3" t="s">
        <v>66</v>
      </c>
      <c r="I109" s="6"/>
      <c r="J109" s="3" t="s">
        <v>67</v>
      </c>
      <c r="K109" s="6"/>
      <c r="L109" s="4" t="s">
        <v>56</v>
      </c>
      <c r="M109" s="4" t="s">
        <v>57</v>
      </c>
      <c r="N109" s="6"/>
      <c r="O109" s="6"/>
      <c r="P109" s="4" t="s">
        <v>60</v>
      </c>
      <c r="Q109" s="4" t="s">
        <v>2248</v>
      </c>
      <c r="R109" s="4"/>
      <c r="S109" s="4"/>
    </row>
    <row r="110" spans="1:19">
      <c r="A110" s="6" t="s">
        <v>2735</v>
      </c>
      <c r="B110" s="6">
        <v>5</v>
      </c>
      <c r="C110" s="3" t="s">
        <v>472</v>
      </c>
      <c r="D110" s="3" t="s">
        <v>64</v>
      </c>
      <c r="E110" s="6"/>
      <c r="F110" s="3" t="s">
        <v>61</v>
      </c>
      <c r="G110" s="6"/>
      <c r="H110" s="3" t="s">
        <v>66</v>
      </c>
      <c r="I110" s="6"/>
      <c r="J110" s="3" t="s">
        <v>67</v>
      </c>
      <c r="K110" s="3" t="s">
        <v>69</v>
      </c>
      <c r="L110" s="6"/>
      <c r="M110" s="6"/>
      <c r="N110" s="4" t="s">
        <v>58</v>
      </c>
      <c r="O110" s="4" t="s">
        <v>59</v>
      </c>
      <c r="P110" s="4" t="s">
        <v>60</v>
      </c>
      <c r="Q110" s="4"/>
      <c r="R110" s="4" t="s">
        <v>2249</v>
      </c>
      <c r="S110" s="4"/>
    </row>
    <row r="111" spans="1:19">
      <c r="A111" s="6" t="s">
        <v>1672</v>
      </c>
      <c r="B111" s="6">
        <v>5</v>
      </c>
      <c r="C111" s="3" t="s">
        <v>475</v>
      </c>
      <c r="D111" s="6"/>
      <c r="E111" s="3" t="s">
        <v>65</v>
      </c>
      <c r="F111" s="6"/>
      <c r="G111" s="3" t="s">
        <v>62</v>
      </c>
      <c r="H111" s="6"/>
      <c r="I111" s="3" t="s">
        <v>63</v>
      </c>
      <c r="J111" s="6"/>
      <c r="K111" s="3" t="s">
        <v>69</v>
      </c>
      <c r="L111" s="4" t="s">
        <v>56</v>
      </c>
      <c r="M111" s="4" t="s">
        <v>57</v>
      </c>
      <c r="N111" s="4" t="s">
        <v>58</v>
      </c>
      <c r="O111" s="6"/>
      <c r="P111" s="4" t="s">
        <v>60</v>
      </c>
      <c r="Q111" s="4"/>
      <c r="R111" s="4"/>
      <c r="S111" s="4" t="s">
        <v>2250</v>
      </c>
    </row>
    <row r="112" spans="1:19">
      <c r="A112" s="6" t="s">
        <v>2736</v>
      </c>
      <c r="B112" s="6">
        <v>5</v>
      </c>
      <c r="C112" s="3" t="s">
        <v>478</v>
      </c>
      <c r="D112" s="3" t="s">
        <v>64</v>
      </c>
      <c r="E112" s="6"/>
      <c r="F112" s="3" t="s">
        <v>61</v>
      </c>
      <c r="G112" s="6"/>
      <c r="H112" s="6"/>
      <c r="I112" s="3" t="s">
        <v>63</v>
      </c>
      <c r="J112" s="3" t="s">
        <v>67</v>
      </c>
      <c r="K112" s="3" t="s">
        <v>69</v>
      </c>
      <c r="L112" s="4" t="s">
        <v>56</v>
      </c>
      <c r="M112" s="6"/>
      <c r="N112" s="6"/>
      <c r="O112" s="4" t="s">
        <v>59</v>
      </c>
      <c r="P112" s="6"/>
      <c r="Q112" s="4"/>
      <c r="R112" s="4" t="s">
        <v>2249</v>
      </c>
      <c r="S112" s="4"/>
    </row>
    <row r="113" spans="1:19">
      <c r="A113" s="6" t="s">
        <v>2737</v>
      </c>
      <c r="B113" s="6">
        <v>5</v>
      </c>
      <c r="C113" s="3" t="s">
        <v>474</v>
      </c>
      <c r="D113" s="3" t="s">
        <v>64</v>
      </c>
      <c r="E113" s="3" t="s">
        <v>65</v>
      </c>
      <c r="F113" s="3" t="s">
        <v>61</v>
      </c>
      <c r="G113" s="6"/>
      <c r="H113" s="6"/>
      <c r="I113" s="6"/>
      <c r="J113" s="3" t="s">
        <v>67</v>
      </c>
      <c r="K113" s="3" t="s">
        <v>69</v>
      </c>
      <c r="L113" s="4" t="s">
        <v>56</v>
      </c>
      <c r="M113" s="6"/>
      <c r="N113" s="4" t="s">
        <v>58</v>
      </c>
      <c r="O113" s="6"/>
      <c r="P113" s="4" t="s">
        <v>60</v>
      </c>
      <c r="Q113" s="4" t="s">
        <v>2248</v>
      </c>
      <c r="R113" s="4"/>
      <c r="S113" s="4"/>
    </row>
    <row r="114" spans="1:19">
      <c r="A114" s="6" t="s">
        <v>2738</v>
      </c>
      <c r="B114" s="6">
        <v>5</v>
      </c>
      <c r="C114" s="3" t="s">
        <v>475</v>
      </c>
      <c r="D114" s="6"/>
      <c r="E114" s="3" t="s">
        <v>65</v>
      </c>
      <c r="F114" s="6"/>
      <c r="G114" s="6"/>
      <c r="H114" s="3" t="s">
        <v>66</v>
      </c>
      <c r="I114" s="3" t="s">
        <v>63</v>
      </c>
      <c r="J114" s="6"/>
      <c r="K114" s="3" t="s">
        <v>69</v>
      </c>
      <c r="L114" s="4" t="s">
        <v>56</v>
      </c>
      <c r="M114" s="4" t="s">
        <v>57</v>
      </c>
      <c r="N114" s="4" t="s">
        <v>58</v>
      </c>
      <c r="O114" s="6"/>
      <c r="P114" s="4" t="s">
        <v>60</v>
      </c>
      <c r="Q114" s="4"/>
      <c r="R114" s="4"/>
      <c r="S114" s="4" t="s">
        <v>2250</v>
      </c>
    </row>
  </sheetData>
  <autoFilter ref="A2:S114"/>
  <mergeCells count="1">
    <mergeCell ref="A1:S1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07"/>
  <sheetViews>
    <sheetView workbookViewId="0">
      <pane ySplit="2" topLeftCell="A27" activePane="bottomLeft" state="frozen"/>
      <selection pane="bottomLeft" activeCell="B15" sqref="B15"/>
    </sheetView>
  </sheetViews>
  <sheetFormatPr defaultRowHeight="14.25"/>
  <cols>
    <col min="1" max="2" width="13.125" style="23" bestFit="1" customWidth="1"/>
    <col min="3" max="3" width="16.875" style="23" bestFit="1" customWidth="1"/>
    <col min="4" max="5" width="13.125" style="23" bestFit="1" customWidth="1"/>
    <col min="6" max="7" width="5.5" style="23" bestFit="1" customWidth="1"/>
    <col min="8" max="16384" width="9" style="23"/>
  </cols>
  <sheetData>
    <row r="1" spans="1:7" ht="33">
      <c r="A1" s="136" t="s">
        <v>103</v>
      </c>
      <c r="B1" s="136"/>
      <c r="C1" s="136"/>
      <c r="D1" s="136"/>
      <c r="E1" s="136"/>
      <c r="F1" s="136"/>
      <c r="G1" s="136"/>
    </row>
    <row r="2" spans="1:7" ht="28.5">
      <c r="A2" s="5" t="s">
        <v>3604</v>
      </c>
      <c r="B2" s="5" t="s">
        <v>3605</v>
      </c>
      <c r="C2" s="5" t="s">
        <v>3606</v>
      </c>
      <c r="D2" s="5" t="s">
        <v>3607</v>
      </c>
      <c r="E2" s="5" t="s">
        <v>3608</v>
      </c>
      <c r="F2" s="5" t="s">
        <v>3609</v>
      </c>
      <c r="G2" s="5" t="s">
        <v>3610</v>
      </c>
    </row>
    <row r="3" spans="1:7">
      <c r="A3" s="1" t="s">
        <v>3096</v>
      </c>
      <c r="B3" s="1" t="s">
        <v>3097</v>
      </c>
      <c r="C3" s="1" t="s">
        <v>3098</v>
      </c>
      <c r="D3" s="1" t="s">
        <v>3099</v>
      </c>
      <c r="E3" s="1" t="s">
        <v>3100</v>
      </c>
      <c r="F3" s="1">
        <v>5</v>
      </c>
      <c r="G3" s="1">
        <v>25</v>
      </c>
    </row>
    <row r="4" spans="1:7">
      <c r="A4" s="1" t="s">
        <v>3101</v>
      </c>
      <c r="B4" s="1" t="s">
        <v>3102</v>
      </c>
      <c r="C4" s="1" t="s">
        <v>3103</v>
      </c>
      <c r="D4" s="1" t="s">
        <v>3104</v>
      </c>
      <c r="E4" s="1" t="s">
        <v>3105</v>
      </c>
      <c r="F4" s="1">
        <v>7</v>
      </c>
      <c r="G4" s="1">
        <v>35</v>
      </c>
    </row>
    <row r="5" spans="1:7">
      <c r="A5" s="1" t="s">
        <v>3106</v>
      </c>
      <c r="B5" s="1" t="s">
        <v>3107</v>
      </c>
      <c r="C5" s="1" t="s">
        <v>3108</v>
      </c>
      <c r="D5" s="1" t="s">
        <v>3109</v>
      </c>
      <c r="E5" s="1" t="s">
        <v>3110</v>
      </c>
      <c r="F5" s="1">
        <v>9</v>
      </c>
      <c r="G5" s="1">
        <v>45</v>
      </c>
    </row>
    <row r="6" spans="1:7">
      <c r="A6" s="1" t="s">
        <v>3111</v>
      </c>
      <c r="B6" s="1" t="s">
        <v>3112</v>
      </c>
      <c r="C6" s="1" t="s">
        <v>3113</v>
      </c>
      <c r="D6" s="1" t="s">
        <v>3114</v>
      </c>
      <c r="E6" s="1" t="s">
        <v>3115</v>
      </c>
      <c r="F6" s="1">
        <v>5</v>
      </c>
      <c r="G6" s="1">
        <v>25</v>
      </c>
    </row>
    <row r="7" spans="1:7">
      <c r="A7" s="1" t="s">
        <v>3116</v>
      </c>
      <c r="B7" s="1" t="s">
        <v>3117</v>
      </c>
      <c r="C7" s="1" t="s">
        <v>3118</v>
      </c>
      <c r="D7" s="1" t="s">
        <v>3119</v>
      </c>
      <c r="E7" s="1" t="s">
        <v>3120</v>
      </c>
      <c r="F7" s="1">
        <v>7</v>
      </c>
      <c r="G7" s="1">
        <v>35</v>
      </c>
    </row>
    <row r="8" spans="1:7">
      <c r="A8" s="1" t="s">
        <v>3121</v>
      </c>
      <c r="B8" s="1" t="s">
        <v>3122</v>
      </c>
      <c r="C8" s="1" t="s">
        <v>3123</v>
      </c>
      <c r="D8" s="1" t="s">
        <v>3124</v>
      </c>
      <c r="E8" s="1" t="s">
        <v>3125</v>
      </c>
      <c r="F8" s="1">
        <v>9</v>
      </c>
      <c r="G8" s="1">
        <v>45</v>
      </c>
    </row>
    <row r="9" spans="1:7">
      <c r="A9" s="1" t="s">
        <v>3126</v>
      </c>
      <c r="B9" s="1" t="s">
        <v>3127</v>
      </c>
      <c r="C9" s="1" t="s">
        <v>3128</v>
      </c>
      <c r="D9" s="1" t="s">
        <v>3129</v>
      </c>
      <c r="E9" s="1" t="s">
        <v>3130</v>
      </c>
      <c r="F9" s="1">
        <v>5</v>
      </c>
      <c r="G9" s="1">
        <v>25</v>
      </c>
    </row>
    <row r="10" spans="1:7">
      <c r="A10" s="1" t="s">
        <v>3131</v>
      </c>
      <c r="B10" s="1" t="s">
        <v>3132</v>
      </c>
      <c r="C10" s="1" t="s">
        <v>3133</v>
      </c>
      <c r="D10" s="1" t="s">
        <v>3134</v>
      </c>
      <c r="E10" s="1" t="s">
        <v>3135</v>
      </c>
      <c r="F10" s="1">
        <v>7</v>
      </c>
      <c r="G10" s="1">
        <v>35</v>
      </c>
    </row>
    <row r="11" spans="1:7">
      <c r="A11" s="1" t="s">
        <v>3136</v>
      </c>
      <c r="B11" s="1" t="s">
        <v>3137</v>
      </c>
      <c r="C11" s="1" t="s">
        <v>3138</v>
      </c>
      <c r="D11" s="1" t="s">
        <v>3139</v>
      </c>
      <c r="E11" s="1" t="s">
        <v>3140</v>
      </c>
      <c r="F11" s="1">
        <v>9</v>
      </c>
      <c r="G11" s="1">
        <v>45</v>
      </c>
    </row>
    <row r="12" spans="1:7">
      <c r="A12" s="1" t="s">
        <v>3141</v>
      </c>
      <c r="B12" s="1" t="s">
        <v>3142</v>
      </c>
      <c r="C12" s="1" t="s">
        <v>3143</v>
      </c>
      <c r="D12" s="1" t="s">
        <v>3144</v>
      </c>
      <c r="E12" s="1" t="s">
        <v>3145</v>
      </c>
      <c r="F12" s="1">
        <v>5</v>
      </c>
      <c r="G12" s="1">
        <v>25</v>
      </c>
    </row>
    <row r="13" spans="1:7">
      <c r="A13" s="1" t="s">
        <v>3146</v>
      </c>
      <c r="B13" s="1" t="s">
        <v>3147</v>
      </c>
      <c r="C13" s="1" t="s">
        <v>3148</v>
      </c>
      <c r="D13" s="1" t="s">
        <v>3149</v>
      </c>
      <c r="E13" s="1" t="s">
        <v>3150</v>
      </c>
      <c r="F13" s="1">
        <v>7</v>
      </c>
      <c r="G13" s="1">
        <v>35</v>
      </c>
    </row>
    <row r="14" spans="1:7">
      <c r="A14" s="1" t="s">
        <v>3151</v>
      </c>
      <c r="B14" s="1" t="s">
        <v>3152</v>
      </c>
      <c r="C14" s="1" t="s">
        <v>3153</v>
      </c>
      <c r="D14" s="1" t="s">
        <v>3154</v>
      </c>
      <c r="E14" s="1" t="s">
        <v>3155</v>
      </c>
      <c r="F14" s="1">
        <v>9</v>
      </c>
      <c r="G14" s="1">
        <v>45</v>
      </c>
    </row>
    <row r="15" spans="1:7">
      <c r="A15" s="1" t="s">
        <v>3156</v>
      </c>
      <c r="B15" s="1" t="s">
        <v>3157</v>
      </c>
      <c r="C15" s="1" t="s">
        <v>3158</v>
      </c>
      <c r="D15" s="1" t="s">
        <v>3159</v>
      </c>
      <c r="E15" s="1" t="s">
        <v>3160</v>
      </c>
      <c r="F15" s="1">
        <v>5</v>
      </c>
      <c r="G15" s="1">
        <v>25</v>
      </c>
    </row>
    <row r="16" spans="1:7">
      <c r="A16" s="1" t="s">
        <v>3161</v>
      </c>
      <c r="B16" s="1" t="s">
        <v>3162</v>
      </c>
      <c r="C16" s="1" t="s">
        <v>3163</v>
      </c>
      <c r="D16" s="1" t="s">
        <v>3164</v>
      </c>
      <c r="E16" s="1" t="s">
        <v>3165</v>
      </c>
      <c r="F16" s="1">
        <v>7</v>
      </c>
      <c r="G16" s="1">
        <v>35</v>
      </c>
    </row>
    <row r="17" spans="1:7">
      <c r="A17" s="1" t="s">
        <v>3166</v>
      </c>
      <c r="B17" s="1" t="s">
        <v>3167</v>
      </c>
      <c r="C17" s="1" t="s">
        <v>3168</v>
      </c>
      <c r="D17" s="1" t="s">
        <v>3169</v>
      </c>
      <c r="E17" s="1" t="s">
        <v>3170</v>
      </c>
      <c r="F17" s="1">
        <v>9</v>
      </c>
      <c r="G17" s="1">
        <v>45</v>
      </c>
    </row>
    <row r="18" spans="1:7">
      <c r="A18" s="1" t="s">
        <v>3171</v>
      </c>
      <c r="B18" s="1" t="s">
        <v>3172</v>
      </c>
      <c r="C18" s="1" t="s">
        <v>3173</v>
      </c>
      <c r="D18" s="1" t="s">
        <v>3174</v>
      </c>
      <c r="E18" s="1" t="s">
        <v>3175</v>
      </c>
      <c r="F18" s="1">
        <v>5</v>
      </c>
      <c r="G18" s="1">
        <v>25</v>
      </c>
    </row>
    <row r="19" spans="1:7">
      <c r="A19" s="1" t="s">
        <v>3176</v>
      </c>
      <c r="B19" s="1" t="s">
        <v>3177</v>
      </c>
      <c r="C19" s="1" t="s">
        <v>3178</v>
      </c>
      <c r="D19" s="1" t="s">
        <v>3179</v>
      </c>
      <c r="E19" s="1" t="s">
        <v>3180</v>
      </c>
      <c r="F19" s="1">
        <v>7</v>
      </c>
      <c r="G19" s="1">
        <v>35</v>
      </c>
    </row>
    <row r="20" spans="1:7">
      <c r="A20" s="1" t="s">
        <v>3181</v>
      </c>
      <c r="B20" s="1" t="s">
        <v>3182</v>
      </c>
      <c r="C20" s="1" t="s">
        <v>3183</v>
      </c>
      <c r="D20" s="1" t="s">
        <v>3184</v>
      </c>
      <c r="E20" s="1" t="s">
        <v>3185</v>
      </c>
      <c r="F20" s="1">
        <v>9</v>
      </c>
      <c r="G20" s="1">
        <v>45</v>
      </c>
    </row>
    <row r="21" spans="1:7">
      <c r="A21" s="1" t="s">
        <v>3186</v>
      </c>
      <c r="B21" s="1" t="s">
        <v>3187</v>
      </c>
      <c r="C21" s="1" t="s">
        <v>3188</v>
      </c>
      <c r="D21" s="1" t="s">
        <v>3189</v>
      </c>
      <c r="E21" s="1" t="s">
        <v>3190</v>
      </c>
      <c r="F21" s="1">
        <v>5</v>
      </c>
      <c r="G21" s="1">
        <v>25</v>
      </c>
    </row>
    <row r="22" spans="1:7">
      <c r="A22" s="1" t="s">
        <v>3191</v>
      </c>
      <c r="B22" s="1" t="s">
        <v>3192</v>
      </c>
      <c r="C22" s="1" t="s">
        <v>3193</v>
      </c>
      <c r="D22" s="1" t="s">
        <v>3194</v>
      </c>
      <c r="E22" s="1" t="s">
        <v>3195</v>
      </c>
      <c r="F22" s="1">
        <v>7</v>
      </c>
      <c r="G22" s="1">
        <v>35</v>
      </c>
    </row>
    <row r="23" spans="1:7">
      <c r="A23" s="1" t="s">
        <v>3196</v>
      </c>
      <c r="B23" s="1" t="s">
        <v>3197</v>
      </c>
      <c r="C23" s="1" t="s">
        <v>3198</v>
      </c>
      <c r="D23" s="1" t="s">
        <v>3199</v>
      </c>
      <c r="E23" s="1" t="s">
        <v>3200</v>
      </c>
      <c r="F23" s="1">
        <v>9</v>
      </c>
      <c r="G23" s="1">
        <v>45</v>
      </c>
    </row>
    <row r="24" spans="1:7">
      <c r="A24" s="1" t="s">
        <v>3201</v>
      </c>
      <c r="B24" s="1" t="s">
        <v>3202</v>
      </c>
      <c r="C24" s="1" t="s">
        <v>3203</v>
      </c>
      <c r="D24" s="1" t="s">
        <v>3204</v>
      </c>
      <c r="E24" s="1" t="s">
        <v>3205</v>
      </c>
      <c r="F24" s="1">
        <v>5</v>
      </c>
      <c r="G24" s="1">
        <v>25</v>
      </c>
    </row>
    <row r="25" spans="1:7">
      <c r="A25" s="1" t="s">
        <v>3206</v>
      </c>
      <c r="B25" s="1" t="s">
        <v>3207</v>
      </c>
      <c r="C25" s="1" t="s">
        <v>3208</v>
      </c>
      <c r="D25" s="1" t="s">
        <v>3209</v>
      </c>
      <c r="E25" s="1" t="s">
        <v>3210</v>
      </c>
      <c r="F25" s="1">
        <v>7</v>
      </c>
      <c r="G25" s="1">
        <v>35</v>
      </c>
    </row>
    <row r="26" spans="1:7">
      <c r="A26" s="1" t="s">
        <v>3211</v>
      </c>
      <c r="B26" s="1" t="s">
        <v>3212</v>
      </c>
      <c r="C26" s="1" t="s">
        <v>3213</v>
      </c>
      <c r="D26" s="1" t="s">
        <v>3214</v>
      </c>
      <c r="E26" s="1" t="s">
        <v>3215</v>
      </c>
      <c r="F26" s="1">
        <v>9</v>
      </c>
      <c r="G26" s="1">
        <v>45</v>
      </c>
    </row>
    <row r="27" spans="1:7">
      <c r="A27" s="1" t="s">
        <v>3216</v>
      </c>
      <c r="B27" s="1" t="s">
        <v>3217</v>
      </c>
      <c r="C27" s="1" t="s">
        <v>3218</v>
      </c>
      <c r="D27" s="1" t="s">
        <v>3219</v>
      </c>
      <c r="E27" s="1" t="s">
        <v>3220</v>
      </c>
      <c r="F27" s="1">
        <v>5</v>
      </c>
      <c r="G27" s="1">
        <v>25</v>
      </c>
    </row>
    <row r="28" spans="1:7">
      <c r="A28" s="1" t="s">
        <v>3221</v>
      </c>
      <c r="B28" s="1" t="s">
        <v>3222</v>
      </c>
      <c r="C28" s="1" t="s">
        <v>3223</v>
      </c>
      <c r="D28" s="1" t="s">
        <v>3224</v>
      </c>
      <c r="E28" s="1" t="s">
        <v>3225</v>
      </c>
      <c r="F28" s="1">
        <v>7</v>
      </c>
      <c r="G28" s="1">
        <v>35</v>
      </c>
    </row>
    <row r="29" spans="1:7">
      <c r="A29" s="1" t="s">
        <v>3226</v>
      </c>
      <c r="B29" s="1" t="s">
        <v>3227</v>
      </c>
      <c r="C29" s="1" t="s">
        <v>3123</v>
      </c>
      <c r="D29" s="1" t="s">
        <v>3228</v>
      </c>
      <c r="E29" s="1" t="s">
        <v>3229</v>
      </c>
      <c r="F29" s="1">
        <v>9</v>
      </c>
      <c r="G29" s="1">
        <v>45</v>
      </c>
    </row>
    <row r="30" spans="1:7">
      <c r="A30" s="1" t="s">
        <v>3230</v>
      </c>
      <c r="B30" s="1" t="s">
        <v>3231</v>
      </c>
      <c r="C30" s="1" t="s">
        <v>3143</v>
      </c>
      <c r="D30" s="1" t="s">
        <v>3232</v>
      </c>
      <c r="E30" s="1" t="s">
        <v>3233</v>
      </c>
      <c r="F30" s="1">
        <v>5</v>
      </c>
      <c r="G30" s="1">
        <v>25</v>
      </c>
    </row>
    <row r="31" spans="1:7">
      <c r="A31" s="1" t="s">
        <v>3234</v>
      </c>
      <c r="B31" s="1" t="s">
        <v>3235</v>
      </c>
      <c r="C31" s="1" t="s">
        <v>3236</v>
      </c>
      <c r="D31" s="1" t="s">
        <v>3237</v>
      </c>
      <c r="E31" s="1" t="s">
        <v>3238</v>
      </c>
      <c r="F31" s="1">
        <v>7</v>
      </c>
      <c r="G31" s="1">
        <v>35</v>
      </c>
    </row>
    <row r="32" spans="1:7">
      <c r="A32" s="1" t="s">
        <v>3239</v>
      </c>
      <c r="B32" s="1" t="s">
        <v>3240</v>
      </c>
      <c r="C32" s="1" t="s">
        <v>3268</v>
      </c>
      <c r="D32" s="1" t="s">
        <v>3269</v>
      </c>
      <c r="E32" s="1" t="s">
        <v>3270</v>
      </c>
      <c r="F32" s="1">
        <v>9</v>
      </c>
      <c r="G32" s="1">
        <v>45</v>
      </c>
    </row>
    <row r="33" spans="1:7">
      <c r="A33" s="1" t="s">
        <v>3271</v>
      </c>
      <c r="B33" s="1" t="s">
        <v>3272</v>
      </c>
      <c r="C33" s="1" t="s">
        <v>3098</v>
      </c>
      <c r="D33" s="1" t="s">
        <v>3273</v>
      </c>
      <c r="E33" s="1" t="s">
        <v>3274</v>
      </c>
      <c r="F33" s="1">
        <v>6</v>
      </c>
      <c r="G33" s="1">
        <v>30</v>
      </c>
    </row>
    <row r="34" spans="1:7">
      <c r="A34" s="1" t="s">
        <v>3275</v>
      </c>
      <c r="B34" s="1" t="s">
        <v>3276</v>
      </c>
      <c r="C34" s="1" t="s">
        <v>3277</v>
      </c>
      <c r="D34" s="1" t="s">
        <v>3278</v>
      </c>
      <c r="E34" s="1" t="s">
        <v>3279</v>
      </c>
      <c r="F34" s="1">
        <v>8</v>
      </c>
      <c r="G34" s="1">
        <v>40</v>
      </c>
    </row>
    <row r="35" spans="1:7">
      <c r="A35" s="1" t="s">
        <v>3280</v>
      </c>
      <c r="B35" s="1" t="s">
        <v>3281</v>
      </c>
      <c r="C35" s="1" t="s">
        <v>3282</v>
      </c>
      <c r="D35" s="1" t="s">
        <v>3283</v>
      </c>
      <c r="E35" s="1" t="s">
        <v>3284</v>
      </c>
      <c r="F35" s="1">
        <v>10</v>
      </c>
      <c r="G35" s="1">
        <v>50</v>
      </c>
    </row>
    <row r="36" spans="1:7">
      <c r="A36" s="1" t="s">
        <v>3285</v>
      </c>
      <c r="B36" s="1" t="s">
        <v>3286</v>
      </c>
      <c r="C36" s="1" t="s">
        <v>3113</v>
      </c>
      <c r="D36" s="1" t="s">
        <v>3287</v>
      </c>
      <c r="E36" s="1" t="s">
        <v>3288</v>
      </c>
      <c r="F36" s="1">
        <v>6</v>
      </c>
      <c r="G36" s="1">
        <v>30</v>
      </c>
    </row>
    <row r="37" spans="1:7">
      <c r="A37" s="1" t="s">
        <v>3289</v>
      </c>
      <c r="B37" s="1" t="s">
        <v>3290</v>
      </c>
      <c r="C37" s="1" t="s">
        <v>3118</v>
      </c>
      <c r="D37" s="1" t="s">
        <v>3291</v>
      </c>
      <c r="E37" s="1" t="s">
        <v>3292</v>
      </c>
      <c r="F37" s="1">
        <v>8</v>
      </c>
      <c r="G37" s="1">
        <v>40</v>
      </c>
    </row>
    <row r="38" spans="1:7">
      <c r="A38" s="1" t="s">
        <v>3293</v>
      </c>
      <c r="B38" s="1" t="s">
        <v>3294</v>
      </c>
      <c r="C38" s="1" t="s">
        <v>3123</v>
      </c>
      <c r="D38" s="1" t="s">
        <v>3295</v>
      </c>
      <c r="E38" s="1" t="s">
        <v>3296</v>
      </c>
      <c r="F38" s="1">
        <v>10</v>
      </c>
      <c r="G38" s="1">
        <v>50</v>
      </c>
    </row>
    <row r="39" spans="1:7">
      <c r="A39" s="1" t="s">
        <v>3297</v>
      </c>
      <c r="B39" s="1" t="s">
        <v>3298</v>
      </c>
      <c r="C39" s="1" t="s">
        <v>3128</v>
      </c>
      <c r="D39" s="1" t="s">
        <v>3299</v>
      </c>
      <c r="E39" s="1" t="s">
        <v>3300</v>
      </c>
      <c r="F39" s="1">
        <v>6</v>
      </c>
      <c r="G39" s="1">
        <v>30</v>
      </c>
    </row>
    <row r="40" spans="1:7">
      <c r="A40" s="1" t="s">
        <v>3301</v>
      </c>
      <c r="B40" s="1" t="s">
        <v>3302</v>
      </c>
      <c r="C40" s="1" t="s">
        <v>3133</v>
      </c>
      <c r="D40" s="1" t="s">
        <v>3303</v>
      </c>
      <c r="E40" s="1" t="s">
        <v>3304</v>
      </c>
      <c r="F40" s="1">
        <v>8</v>
      </c>
      <c r="G40" s="1">
        <v>40</v>
      </c>
    </row>
    <row r="41" spans="1:7">
      <c r="A41" s="1" t="s">
        <v>3305</v>
      </c>
      <c r="B41" s="1" t="s">
        <v>3306</v>
      </c>
      <c r="C41" s="1" t="s">
        <v>3138</v>
      </c>
      <c r="D41" s="1" t="s">
        <v>3307</v>
      </c>
      <c r="E41" s="1" t="s">
        <v>3308</v>
      </c>
      <c r="F41" s="1">
        <v>10</v>
      </c>
      <c r="G41" s="1">
        <v>50</v>
      </c>
    </row>
    <row r="42" spans="1:7">
      <c r="A42" s="1" t="s">
        <v>3309</v>
      </c>
      <c r="B42" s="1" t="s">
        <v>3310</v>
      </c>
      <c r="C42" s="1" t="s">
        <v>3143</v>
      </c>
      <c r="D42" s="1" t="s">
        <v>3311</v>
      </c>
      <c r="E42" s="1" t="s">
        <v>3312</v>
      </c>
      <c r="F42" s="1">
        <v>6</v>
      </c>
      <c r="G42" s="1">
        <v>30</v>
      </c>
    </row>
    <row r="43" spans="1:7">
      <c r="A43" s="1" t="s">
        <v>3313</v>
      </c>
      <c r="B43" s="1" t="s">
        <v>3314</v>
      </c>
      <c r="C43" s="1" t="s">
        <v>3148</v>
      </c>
      <c r="D43" s="1" t="s">
        <v>3315</v>
      </c>
      <c r="E43" s="1" t="s">
        <v>3316</v>
      </c>
      <c r="F43" s="1">
        <v>8</v>
      </c>
      <c r="G43" s="1">
        <v>40</v>
      </c>
    </row>
    <row r="44" spans="1:7">
      <c r="A44" s="1" t="s">
        <v>3317</v>
      </c>
      <c r="B44" s="1" t="s">
        <v>3318</v>
      </c>
      <c r="C44" s="1" t="s">
        <v>3153</v>
      </c>
      <c r="D44" s="1" t="s">
        <v>3319</v>
      </c>
      <c r="E44" s="1" t="s">
        <v>3320</v>
      </c>
      <c r="F44" s="1">
        <v>10</v>
      </c>
      <c r="G44" s="1">
        <v>50</v>
      </c>
    </row>
    <row r="45" spans="1:7">
      <c r="A45" s="1" t="s">
        <v>3321</v>
      </c>
      <c r="B45" s="1" t="s">
        <v>3322</v>
      </c>
      <c r="C45" s="1" t="s">
        <v>3158</v>
      </c>
      <c r="D45" s="1" t="s">
        <v>3323</v>
      </c>
      <c r="E45" s="1" t="s">
        <v>3324</v>
      </c>
      <c r="F45" s="1">
        <v>6</v>
      </c>
      <c r="G45" s="1">
        <v>30</v>
      </c>
    </row>
    <row r="46" spans="1:7">
      <c r="A46" s="1" t="s">
        <v>3325</v>
      </c>
      <c r="B46" s="1" t="s">
        <v>3326</v>
      </c>
      <c r="C46" s="1" t="s">
        <v>3163</v>
      </c>
      <c r="D46" s="1" t="s">
        <v>3327</v>
      </c>
      <c r="E46" s="1" t="s">
        <v>3328</v>
      </c>
      <c r="F46" s="1">
        <v>8</v>
      </c>
      <c r="G46" s="1">
        <v>40</v>
      </c>
    </row>
    <row r="47" spans="1:7">
      <c r="A47" s="1" t="s">
        <v>3329</v>
      </c>
      <c r="B47" s="1" t="s">
        <v>3330</v>
      </c>
      <c r="C47" s="1" t="s">
        <v>3168</v>
      </c>
      <c r="D47" s="1" t="s">
        <v>3331</v>
      </c>
      <c r="E47" s="1" t="s">
        <v>3332</v>
      </c>
      <c r="F47" s="1">
        <v>10</v>
      </c>
      <c r="G47" s="1">
        <v>50</v>
      </c>
    </row>
    <row r="48" spans="1:7">
      <c r="A48" s="1" t="s">
        <v>3333</v>
      </c>
      <c r="B48" s="1" t="s">
        <v>3334</v>
      </c>
      <c r="C48" s="1" t="s">
        <v>3173</v>
      </c>
      <c r="D48" s="1" t="s">
        <v>3335</v>
      </c>
      <c r="E48" s="1" t="s">
        <v>3336</v>
      </c>
      <c r="F48" s="1">
        <v>6</v>
      </c>
      <c r="G48" s="1">
        <v>30</v>
      </c>
    </row>
    <row r="49" spans="1:7">
      <c r="A49" s="1" t="s">
        <v>3337</v>
      </c>
      <c r="B49" s="1" t="s">
        <v>3338</v>
      </c>
      <c r="C49" s="1" t="s">
        <v>3178</v>
      </c>
      <c r="D49" s="1" t="s">
        <v>3339</v>
      </c>
      <c r="E49" s="1" t="s">
        <v>3340</v>
      </c>
      <c r="F49" s="1">
        <v>8</v>
      </c>
      <c r="G49" s="1">
        <v>40</v>
      </c>
    </row>
    <row r="50" spans="1:7">
      <c r="A50" s="1" t="s">
        <v>3341</v>
      </c>
      <c r="B50" s="1" t="s">
        <v>3342</v>
      </c>
      <c r="C50" s="1" t="s">
        <v>3183</v>
      </c>
      <c r="D50" s="1" t="s">
        <v>3475</v>
      </c>
      <c r="E50" s="1" t="s">
        <v>3476</v>
      </c>
      <c r="F50" s="1">
        <v>10</v>
      </c>
      <c r="G50" s="1">
        <v>50</v>
      </c>
    </row>
    <row r="51" spans="1:7">
      <c r="A51" s="1" t="s">
        <v>3477</v>
      </c>
      <c r="B51" s="1" t="s">
        <v>3478</v>
      </c>
      <c r="C51" s="1" t="s">
        <v>3188</v>
      </c>
      <c r="D51" s="1" t="s">
        <v>3479</v>
      </c>
      <c r="E51" s="1" t="s">
        <v>3480</v>
      </c>
      <c r="F51" s="1">
        <v>6</v>
      </c>
      <c r="G51" s="1">
        <v>30</v>
      </c>
    </row>
    <row r="52" spans="1:7">
      <c r="A52" s="1" t="s">
        <v>3481</v>
      </c>
      <c r="B52" s="1" t="s">
        <v>3482</v>
      </c>
      <c r="C52" s="1" t="s">
        <v>3193</v>
      </c>
      <c r="D52" s="1" t="s">
        <v>3483</v>
      </c>
      <c r="E52" s="1" t="s">
        <v>3484</v>
      </c>
      <c r="F52" s="1">
        <v>8</v>
      </c>
      <c r="G52" s="1">
        <v>40</v>
      </c>
    </row>
    <row r="53" spans="1:7">
      <c r="A53" s="1" t="s">
        <v>3485</v>
      </c>
      <c r="B53" s="1" t="s">
        <v>3486</v>
      </c>
      <c r="C53" s="1" t="s">
        <v>3198</v>
      </c>
      <c r="D53" s="1" t="s">
        <v>3487</v>
      </c>
      <c r="E53" s="1" t="s">
        <v>3488</v>
      </c>
      <c r="F53" s="1">
        <v>10</v>
      </c>
      <c r="G53" s="1">
        <v>50</v>
      </c>
    </row>
    <row r="54" spans="1:7">
      <c r="A54" s="1" t="s">
        <v>3489</v>
      </c>
      <c r="B54" s="1" t="s">
        <v>3490</v>
      </c>
      <c r="C54" s="1" t="s">
        <v>3203</v>
      </c>
      <c r="D54" s="1" t="s">
        <v>3491</v>
      </c>
      <c r="E54" s="1" t="s">
        <v>3492</v>
      </c>
      <c r="F54" s="1">
        <v>6</v>
      </c>
      <c r="G54" s="1">
        <v>30</v>
      </c>
    </row>
    <row r="55" spans="1:7">
      <c r="A55" s="1" t="s">
        <v>3493</v>
      </c>
      <c r="B55" s="1" t="s">
        <v>3494</v>
      </c>
      <c r="C55" s="1" t="s">
        <v>3208</v>
      </c>
      <c r="D55" s="1" t="s">
        <v>3495</v>
      </c>
      <c r="E55" s="1" t="s">
        <v>3496</v>
      </c>
      <c r="F55" s="1">
        <v>8</v>
      </c>
      <c r="G55" s="1">
        <v>40</v>
      </c>
    </row>
    <row r="56" spans="1:7">
      <c r="A56" s="1" t="s">
        <v>3497</v>
      </c>
      <c r="B56" s="1" t="s">
        <v>3498</v>
      </c>
      <c r="C56" s="1" t="s">
        <v>3213</v>
      </c>
      <c r="D56" s="1" t="s">
        <v>3499</v>
      </c>
      <c r="E56" s="1" t="s">
        <v>3500</v>
      </c>
      <c r="F56" s="1">
        <v>10</v>
      </c>
      <c r="G56" s="1">
        <v>50</v>
      </c>
    </row>
    <row r="57" spans="1:7">
      <c r="A57" s="1" t="s">
        <v>3501</v>
      </c>
      <c r="B57" s="1" t="s">
        <v>3502</v>
      </c>
      <c r="C57" s="1" t="s">
        <v>3503</v>
      </c>
      <c r="D57" s="1" t="s">
        <v>3504</v>
      </c>
      <c r="E57" s="1" t="s">
        <v>3505</v>
      </c>
      <c r="F57" s="1">
        <v>6</v>
      </c>
      <c r="G57" s="1">
        <v>30</v>
      </c>
    </row>
    <row r="58" spans="1:7">
      <c r="A58" s="1" t="s">
        <v>3506</v>
      </c>
      <c r="B58" s="1" t="s">
        <v>3507</v>
      </c>
      <c r="C58" s="1" t="s">
        <v>3208</v>
      </c>
      <c r="D58" s="1" t="s">
        <v>3508</v>
      </c>
      <c r="E58" s="1" t="s">
        <v>3509</v>
      </c>
      <c r="F58" s="1">
        <v>8</v>
      </c>
      <c r="G58" s="1">
        <v>40</v>
      </c>
    </row>
    <row r="59" spans="1:7">
      <c r="A59" s="1" t="s">
        <v>3510</v>
      </c>
      <c r="B59" s="1" t="s">
        <v>3511</v>
      </c>
      <c r="C59" s="1" t="s">
        <v>3213</v>
      </c>
      <c r="D59" s="1" t="s">
        <v>3512</v>
      </c>
      <c r="E59" s="1" t="s">
        <v>3513</v>
      </c>
      <c r="F59" s="1">
        <v>10</v>
      </c>
      <c r="G59" s="1">
        <v>50</v>
      </c>
    </row>
    <row r="60" spans="1:7">
      <c r="A60" s="1" t="s">
        <v>3514</v>
      </c>
      <c r="B60" s="1" t="s">
        <v>3515</v>
      </c>
      <c r="C60" s="1" t="s">
        <v>3098</v>
      </c>
      <c r="D60" s="1" t="s">
        <v>3516</v>
      </c>
      <c r="E60" s="1" t="s">
        <v>3517</v>
      </c>
      <c r="F60" s="1">
        <v>5</v>
      </c>
      <c r="G60" s="1">
        <v>25</v>
      </c>
    </row>
    <row r="61" spans="1:7">
      <c r="A61" s="1" t="s">
        <v>3518</v>
      </c>
      <c r="B61" s="1" t="s">
        <v>3519</v>
      </c>
      <c r="C61" s="1" t="s">
        <v>3277</v>
      </c>
      <c r="D61" s="1" t="s">
        <v>108</v>
      </c>
      <c r="E61" s="1" t="s">
        <v>109</v>
      </c>
      <c r="F61" s="1">
        <v>7</v>
      </c>
      <c r="G61" s="1">
        <v>35</v>
      </c>
    </row>
    <row r="62" spans="1:7">
      <c r="A62" s="1" t="s">
        <v>3520</v>
      </c>
      <c r="B62" s="1" t="s">
        <v>3521</v>
      </c>
      <c r="C62" s="1" t="s">
        <v>3108</v>
      </c>
      <c r="D62" s="1" t="s">
        <v>3522</v>
      </c>
      <c r="E62" s="1" t="s">
        <v>3523</v>
      </c>
      <c r="F62" s="1">
        <v>9</v>
      </c>
      <c r="G62" s="1">
        <v>45</v>
      </c>
    </row>
    <row r="63" spans="1:7">
      <c r="A63" s="1" t="s">
        <v>3524</v>
      </c>
      <c r="B63" s="1" t="s">
        <v>3525</v>
      </c>
      <c r="C63" s="1" t="s">
        <v>3113</v>
      </c>
      <c r="D63" s="1" t="s">
        <v>3526</v>
      </c>
      <c r="E63" s="1" t="s">
        <v>3527</v>
      </c>
      <c r="F63" s="1">
        <v>5</v>
      </c>
      <c r="G63" s="1">
        <v>25</v>
      </c>
    </row>
    <row r="64" spans="1:7">
      <c r="A64" s="1" t="s">
        <v>3528</v>
      </c>
      <c r="B64" s="1" t="s">
        <v>3529</v>
      </c>
      <c r="C64" s="1" t="s">
        <v>3118</v>
      </c>
      <c r="D64" s="1" t="s">
        <v>3530</v>
      </c>
      <c r="E64" s="1" t="s">
        <v>3531</v>
      </c>
      <c r="F64" s="1">
        <v>7</v>
      </c>
      <c r="G64" s="1">
        <v>35</v>
      </c>
    </row>
    <row r="65" spans="1:7">
      <c r="A65" s="1" t="s">
        <v>3532</v>
      </c>
      <c r="B65" s="1" t="s">
        <v>3533</v>
      </c>
      <c r="C65" s="1" t="s">
        <v>3123</v>
      </c>
      <c r="D65" s="1" t="s">
        <v>3534</v>
      </c>
      <c r="E65" s="1" t="s">
        <v>3535</v>
      </c>
      <c r="F65" s="1">
        <v>9</v>
      </c>
      <c r="G65" s="1">
        <v>45</v>
      </c>
    </row>
    <row r="66" spans="1:7">
      <c r="A66" s="1" t="s">
        <v>3536</v>
      </c>
      <c r="B66" s="1" t="s">
        <v>3537</v>
      </c>
      <c r="C66" s="1" t="s">
        <v>3128</v>
      </c>
      <c r="D66" s="1" t="s">
        <v>3538</v>
      </c>
      <c r="E66" s="1" t="s">
        <v>3539</v>
      </c>
      <c r="F66" s="1">
        <v>5</v>
      </c>
      <c r="G66" s="1">
        <v>25</v>
      </c>
    </row>
    <row r="67" spans="1:7">
      <c r="A67" s="1" t="s">
        <v>3540</v>
      </c>
      <c r="B67" s="1" t="s">
        <v>3541</v>
      </c>
      <c r="C67" s="1" t="s">
        <v>3133</v>
      </c>
      <c r="D67" s="1" t="s">
        <v>3542</v>
      </c>
      <c r="E67" s="1" t="s">
        <v>3543</v>
      </c>
      <c r="F67" s="1">
        <v>7</v>
      </c>
      <c r="G67" s="1">
        <v>35</v>
      </c>
    </row>
    <row r="68" spans="1:7">
      <c r="A68" s="1" t="s">
        <v>3544</v>
      </c>
      <c r="B68" s="1" t="s">
        <v>3545</v>
      </c>
      <c r="C68" s="1" t="s">
        <v>3138</v>
      </c>
      <c r="D68" s="1" t="s">
        <v>3546</v>
      </c>
      <c r="E68" s="1" t="s">
        <v>3547</v>
      </c>
      <c r="F68" s="1">
        <v>9</v>
      </c>
      <c r="G68" s="1">
        <v>45</v>
      </c>
    </row>
    <row r="69" spans="1:7">
      <c r="A69" s="1" t="s">
        <v>3548</v>
      </c>
      <c r="B69" s="1" t="s">
        <v>3549</v>
      </c>
      <c r="C69" s="1" t="s">
        <v>3143</v>
      </c>
      <c r="D69" s="1" t="s">
        <v>3550</v>
      </c>
      <c r="E69" s="1" t="s">
        <v>3551</v>
      </c>
      <c r="F69" s="1">
        <v>5</v>
      </c>
      <c r="G69" s="1">
        <v>25</v>
      </c>
    </row>
    <row r="70" spans="1:7">
      <c r="A70" s="1" t="s">
        <v>3552</v>
      </c>
      <c r="B70" s="1" t="s">
        <v>3553</v>
      </c>
      <c r="C70" s="1" t="s">
        <v>3148</v>
      </c>
      <c r="D70" s="1" t="s">
        <v>3554</v>
      </c>
      <c r="E70" s="1" t="s">
        <v>3555</v>
      </c>
      <c r="F70" s="1">
        <v>7</v>
      </c>
      <c r="G70" s="1">
        <v>35</v>
      </c>
    </row>
    <row r="71" spans="1:7">
      <c r="A71" s="1" t="s">
        <v>3556</v>
      </c>
      <c r="B71" s="1" t="s">
        <v>3557</v>
      </c>
      <c r="C71" s="1" t="s">
        <v>3153</v>
      </c>
      <c r="D71" s="1" t="s">
        <v>3558</v>
      </c>
      <c r="E71" s="1" t="s">
        <v>3559</v>
      </c>
      <c r="F71" s="1">
        <v>9</v>
      </c>
      <c r="G71" s="1">
        <v>45</v>
      </c>
    </row>
    <row r="72" spans="1:7">
      <c r="A72" s="1" t="s">
        <v>3560</v>
      </c>
      <c r="B72" s="1" t="s">
        <v>3561</v>
      </c>
      <c r="C72" s="1" t="s">
        <v>3158</v>
      </c>
      <c r="D72" s="1" t="s">
        <v>3562</v>
      </c>
      <c r="E72" s="1" t="s">
        <v>3563</v>
      </c>
      <c r="F72" s="1">
        <v>5</v>
      </c>
      <c r="G72" s="1">
        <v>25</v>
      </c>
    </row>
    <row r="73" spans="1:7">
      <c r="A73" s="1" t="s">
        <v>3564</v>
      </c>
      <c r="B73" s="1" t="s">
        <v>3565</v>
      </c>
      <c r="C73" s="1" t="s">
        <v>3163</v>
      </c>
      <c r="D73" s="1" t="s">
        <v>3566</v>
      </c>
      <c r="E73" s="1" t="s">
        <v>3567</v>
      </c>
      <c r="F73" s="1">
        <v>7</v>
      </c>
      <c r="G73" s="1">
        <v>35</v>
      </c>
    </row>
    <row r="74" spans="1:7">
      <c r="A74" s="1" t="s">
        <v>3568</v>
      </c>
      <c r="B74" s="1" t="s">
        <v>3569</v>
      </c>
      <c r="C74" s="1" t="s">
        <v>3168</v>
      </c>
      <c r="D74" s="1" t="s">
        <v>3570</v>
      </c>
      <c r="E74" s="1" t="s">
        <v>3571</v>
      </c>
      <c r="F74" s="1">
        <v>9</v>
      </c>
      <c r="G74" s="1">
        <v>45</v>
      </c>
    </row>
    <row r="75" spans="1:7">
      <c r="A75" s="1" t="s">
        <v>3572</v>
      </c>
      <c r="B75" s="1" t="s">
        <v>3573</v>
      </c>
      <c r="C75" s="1" t="s">
        <v>3173</v>
      </c>
      <c r="D75" s="1" t="s">
        <v>3574</v>
      </c>
      <c r="E75" s="1" t="s">
        <v>3575</v>
      </c>
      <c r="F75" s="1">
        <v>5</v>
      </c>
      <c r="G75" s="1">
        <v>25</v>
      </c>
    </row>
    <row r="76" spans="1:7">
      <c r="A76" s="1" t="s">
        <v>3576</v>
      </c>
      <c r="B76" s="1" t="s">
        <v>3577</v>
      </c>
      <c r="C76" s="1" t="s">
        <v>3178</v>
      </c>
      <c r="D76" s="1" t="s">
        <v>3578</v>
      </c>
      <c r="E76" s="1" t="s">
        <v>3579</v>
      </c>
      <c r="F76" s="1">
        <v>7</v>
      </c>
      <c r="G76" s="1">
        <v>35</v>
      </c>
    </row>
    <row r="77" spans="1:7">
      <c r="A77" s="1" t="s">
        <v>3580</v>
      </c>
      <c r="B77" s="1" t="s">
        <v>3581</v>
      </c>
      <c r="C77" s="1" t="s">
        <v>3183</v>
      </c>
      <c r="D77" s="1" t="s">
        <v>3582</v>
      </c>
      <c r="E77" s="1" t="s">
        <v>3583</v>
      </c>
      <c r="F77" s="1">
        <v>9</v>
      </c>
      <c r="G77" s="1">
        <v>45</v>
      </c>
    </row>
    <row r="78" spans="1:7">
      <c r="A78" s="1" t="s">
        <v>3584</v>
      </c>
      <c r="B78" s="1" t="s">
        <v>3585</v>
      </c>
      <c r="C78" s="1" t="s">
        <v>3188</v>
      </c>
      <c r="D78" s="1" t="s">
        <v>3586</v>
      </c>
      <c r="E78" s="1" t="s">
        <v>3587</v>
      </c>
      <c r="F78" s="1">
        <v>5</v>
      </c>
      <c r="G78" s="1">
        <v>25</v>
      </c>
    </row>
    <row r="79" spans="1:7">
      <c r="A79" s="1" t="s">
        <v>3588</v>
      </c>
      <c r="B79" s="1" t="s">
        <v>3589</v>
      </c>
      <c r="C79" s="1" t="s">
        <v>3193</v>
      </c>
      <c r="D79" s="1" t="s">
        <v>3590</v>
      </c>
      <c r="E79" s="1" t="s">
        <v>3591</v>
      </c>
      <c r="F79" s="1">
        <v>7</v>
      </c>
      <c r="G79" s="1">
        <v>35</v>
      </c>
    </row>
    <row r="80" spans="1:7">
      <c r="A80" s="1" t="s">
        <v>3592</v>
      </c>
      <c r="B80" s="1" t="s">
        <v>3593</v>
      </c>
      <c r="C80" s="1" t="s">
        <v>3198</v>
      </c>
      <c r="D80" s="1" t="s">
        <v>3594</v>
      </c>
      <c r="E80" s="1" t="s">
        <v>3595</v>
      </c>
      <c r="F80" s="1">
        <v>9</v>
      </c>
      <c r="G80" s="1">
        <v>45</v>
      </c>
    </row>
    <row r="81" spans="1:7">
      <c r="A81" s="1" t="s">
        <v>3596</v>
      </c>
      <c r="B81" s="1" t="s">
        <v>3597</v>
      </c>
      <c r="C81" s="1" t="s">
        <v>3203</v>
      </c>
      <c r="D81" s="1" t="s">
        <v>3598</v>
      </c>
      <c r="E81" s="1" t="s">
        <v>3599</v>
      </c>
      <c r="F81" s="1">
        <v>6</v>
      </c>
      <c r="G81" s="1">
        <v>30</v>
      </c>
    </row>
    <row r="82" spans="1:7">
      <c r="A82" s="1" t="s">
        <v>3600</v>
      </c>
      <c r="B82" s="1" t="s">
        <v>3601</v>
      </c>
      <c r="C82" s="1" t="s">
        <v>3208</v>
      </c>
      <c r="D82" s="1" t="s">
        <v>3602</v>
      </c>
      <c r="E82" s="1" t="s">
        <v>3603</v>
      </c>
      <c r="F82" s="1">
        <v>8</v>
      </c>
      <c r="G82" s="1">
        <v>40</v>
      </c>
    </row>
    <row r="83" spans="1:7">
      <c r="A83" s="1" t="s">
        <v>3611</v>
      </c>
      <c r="B83" s="1" t="s">
        <v>3612</v>
      </c>
      <c r="C83" s="1" t="s">
        <v>3613</v>
      </c>
      <c r="D83" s="1" t="s">
        <v>3614</v>
      </c>
      <c r="E83" s="1" t="s">
        <v>3615</v>
      </c>
      <c r="F83" s="1">
        <v>10</v>
      </c>
      <c r="G83" s="1">
        <v>50</v>
      </c>
    </row>
    <row r="84" spans="1:7">
      <c r="A84" s="1" t="s">
        <v>3616</v>
      </c>
      <c r="B84" s="1" t="s">
        <v>3617</v>
      </c>
      <c r="C84" s="1" t="s">
        <v>3618</v>
      </c>
      <c r="D84" s="1" t="s">
        <v>3619</v>
      </c>
      <c r="E84" s="1" t="s">
        <v>3620</v>
      </c>
      <c r="F84" s="1">
        <v>6</v>
      </c>
      <c r="G84" s="1">
        <v>30</v>
      </c>
    </row>
    <row r="85" spans="1:7">
      <c r="A85" s="1" t="s">
        <v>3621</v>
      </c>
      <c r="B85" s="1" t="s">
        <v>3622</v>
      </c>
      <c r="C85" s="1" t="s">
        <v>3623</v>
      </c>
      <c r="D85" s="1" t="s">
        <v>3624</v>
      </c>
      <c r="E85" s="1" t="s">
        <v>3625</v>
      </c>
      <c r="F85" s="1">
        <v>8</v>
      </c>
      <c r="G85" s="1">
        <v>40</v>
      </c>
    </row>
    <row r="86" spans="1:7">
      <c r="A86" s="1" t="s">
        <v>3626</v>
      </c>
      <c r="B86" s="1" t="s">
        <v>3627</v>
      </c>
      <c r="C86" s="1" t="s">
        <v>3628</v>
      </c>
      <c r="D86" s="1" t="s">
        <v>3629</v>
      </c>
      <c r="E86" s="1" t="s">
        <v>3630</v>
      </c>
      <c r="F86" s="1">
        <v>10</v>
      </c>
      <c r="G86" s="1">
        <v>50</v>
      </c>
    </row>
    <row r="87" spans="1:7">
      <c r="A87" s="1" t="s">
        <v>3631</v>
      </c>
      <c r="B87" s="1" t="s">
        <v>3632</v>
      </c>
      <c r="C87" s="1" t="s">
        <v>3633</v>
      </c>
      <c r="D87" s="1" t="s">
        <v>3634</v>
      </c>
      <c r="E87" s="1" t="s">
        <v>3635</v>
      </c>
      <c r="F87" s="1">
        <v>6</v>
      </c>
      <c r="G87" s="1">
        <v>30</v>
      </c>
    </row>
    <row r="88" spans="1:7">
      <c r="A88" s="1" t="s">
        <v>3636</v>
      </c>
      <c r="B88" s="1" t="s">
        <v>3637</v>
      </c>
      <c r="C88" s="1" t="s">
        <v>3638</v>
      </c>
      <c r="D88" s="1" t="s">
        <v>3639</v>
      </c>
      <c r="E88" s="1" t="s">
        <v>3640</v>
      </c>
      <c r="F88" s="1">
        <v>8</v>
      </c>
      <c r="G88" s="1">
        <v>40</v>
      </c>
    </row>
    <row r="89" spans="1:7">
      <c r="A89" s="1" t="s">
        <v>3641</v>
      </c>
      <c r="B89" s="1" t="s">
        <v>3642</v>
      </c>
      <c r="C89" s="1" t="s">
        <v>3643</v>
      </c>
      <c r="D89" s="1" t="s">
        <v>3644</v>
      </c>
      <c r="E89" s="1" t="s">
        <v>3645</v>
      </c>
      <c r="F89" s="1">
        <v>10</v>
      </c>
      <c r="G89" s="1">
        <v>50</v>
      </c>
    </row>
    <row r="90" spans="1:7">
      <c r="A90" s="1" t="s">
        <v>3646</v>
      </c>
      <c r="B90" s="1" t="s">
        <v>3647</v>
      </c>
      <c r="C90" s="1" t="s">
        <v>3648</v>
      </c>
      <c r="D90" s="1" t="s">
        <v>3649</v>
      </c>
      <c r="E90" s="1" t="s">
        <v>3650</v>
      </c>
      <c r="F90" s="1">
        <v>6</v>
      </c>
      <c r="G90" s="1">
        <v>30</v>
      </c>
    </row>
    <row r="91" spans="1:7">
      <c r="A91" s="1" t="s">
        <v>3651</v>
      </c>
      <c r="B91" s="1" t="s">
        <v>3652</v>
      </c>
      <c r="C91" s="1" t="s">
        <v>3653</v>
      </c>
      <c r="D91" s="1" t="s">
        <v>3654</v>
      </c>
      <c r="E91" s="1" t="s">
        <v>3655</v>
      </c>
      <c r="F91" s="1">
        <v>8</v>
      </c>
      <c r="G91" s="1">
        <v>40</v>
      </c>
    </row>
    <row r="92" spans="1:7">
      <c r="A92" s="1" t="s">
        <v>3656</v>
      </c>
      <c r="B92" s="1" t="s">
        <v>3657</v>
      </c>
      <c r="C92" s="1" t="s">
        <v>3658</v>
      </c>
      <c r="D92" s="1" t="s">
        <v>3659</v>
      </c>
      <c r="E92" s="1" t="s">
        <v>3660</v>
      </c>
      <c r="F92" s="1">
        <v>10</v>
      </c>
      <c r="G92" s="1">
        <v>50</v>
      </c>
    </row>
    <row r="93" spans="1:7">
      <c r="A93" s="1" t="s">
        <v>3661</v>
      </c>
      <c r="B93" s="1" t="s">
        <v>3662</v>
      </c>
      <c r="C93" s="1" t="s">
        <v>3663</v>
      </c>
      <c r="D93" s="1" t="s">
        <v>3664</v>
      </c>
      <c r="E93" s="1" t="s">
        <v>3665</v>
      </c>
      <c r="F93" s="1">
        <v>6</v>
      </c>
      <c r="G93" s="1">
        <v>30</v>
      </c>
    </row>
    <row r="94" spans="1:7">
      <c r="A94" s="1" t="s">
        <v>3666</v>
      </c>
      <c r="B94" s="1" t="s">
        <v>3667</v>
      </c>
      <c r="C94" s="1" t="s">
        <v>3668</v>
      </c>
      <c r="D94" s="1" t="s">
        <v>3669</v>
      </c>
      <c r="E94" s="1" t="s">
        <v>3670</v>
      </c>
      <c r="F94" s="1">
        <v>8</v>
      </c>
      <c r="G94" s="1">
        <v>40</v>
      </c>
    </row>
    <row r="95" spans="1:7">
      <c r="A95" s="1" t="s">
        <v>3671</v>
      </c>
      <c r="B95" s="1" t="s">
        <v>3672</v>
      </c>
      <c r="C95" s="1" t="s">
        <v>3673</v>
      </c>
      <c r="D95" s="1" t="s">
        <v>110</v>
      </c>
      <c r="E95" s="1" t="s">
        <v>111</v>
      </c>
      <c r="F95" s="1">
        <v>10</v>
      </c>
      <c r="G95" s="1">
        <v>50</v>
      </c>
    </row>
    <row r="96" spans="1:7">
      <c r="A96" s="1" t="s">
        <v>3674</v>
      </c>
      <c r="B96" s="1" t="s">
        <v>3675</v>
      </c>
      <c r="C96" s="1" t="s">
        <v>3676</v>
      </c>
      <c r="D96" s="1" t="s">
        <v>3677</v>
      </c>
      <c r="E96" s="1" t="s">
        <v>3678</v>
      </c>
      <c r="F96" s="1">
        <v>6</v>
      </c>
      <c r="G96" s="1">
        <v>30</v>
      </c>
    </row>
    <row r="97" spans="1:7">
      <c r="A97" s="1" t="s">
        <v>3679</v>
      </c>
      <c r="B97" s="1" t="s">
        <v>3680</v>
      </c>
      <c r="C97" s="1" t="s">
        <v>3681</v>
      </c>
      <c r="D97" s="1" t="s">
        <v>3682</v>
      </c>
      <c r="E97" s="1" t="s">
        <v>3683</v>
      </c>
      <c r="F97" s="1">
        <v>8</v>
      </c>
      <c r="G97" s="1">
        <v>40</v>
      </c>
    </row>
    <row r="98" spans="1:7">
      <c r="A98" s="1" t="s">
        <v>3684</v>
      </c>
      <c r="B98" s="1" t="s">
        <v>3685</v>
      </c>
      <c r="C98" s="1" t="s">
        <v>3686</v>
      </c>
      <c r="D98" s="1" t="s">
        <v>3687</v>
      </c>
      <c r="E98" s="1" t="s">
        <v>3688</v>
      </c>
      <c r="F98" s="1">
        <v>10</v>
      </c>
      <c r="G98" s="1">
        <v>50</v>
      </c>
    </row>
    <row r="99" spans="1:7">
      <c r="A99" s="1" t="s">
        <v>3689</v>
      </c>
      <c r="B99" s="1" t="s">
        <v>3690</v>
      </c>
      <c r="C99" s="1" t="s">
        <v>3691</v>
      </c>
      <c r="D99" s="1" t="s">
        <v>3692</v>
      </c>
      <c r="E99" s="1" t="s">
        <v>3693</v>
      </c>
      <c r="F99" s="1">
        <v>6</v>
      </c>
      <c r="G99" s="1">
        <v>30</v>
      </c>
    </row>
    <row r="100" spans="1:7">
      <c r="A100" s="1" t="s">
        <v>3694</v>
      </c>
      <c r="B100" s="1" t="s">
        <v>3695</v>
      </c>
      <c r="C100" s="1" t="s">
        <v>3696</v>
      </c>
      <c r="D100" s="1" t="s">
        <v>112</v>
      </c>
      <c r="E100" s="1" t="s">
        <v>113</v>
      </c>
      <c r="F100" s="1">
        <v>8</v>
      </c>
      <c r="G100" s="1">
        <v>40</v>
      </c>
    </row>
    <row r="101" spans="1:7">
      <c r="A101" s="1" t="s">
        <v>3697</v>
      </c>
      <c r="B101" s="1" t="s">
        <v>3698</v>
      </c>
      <c r="C101" s="1" t="s">
        <v>3699</v>
      </c>
      <c r="D101" s="1" t="s">
        <v>3700</v>
      </c>
      <c r="E101" s="1" t="s">
        <v>3701</v>
      </c>
      <c r="F101" s="1">
        <v>10</v>
      </c>
      <c r="G101" s="1">
        <v>50</v>
      </c>
    </row>
    <row r="102" spans="1:7">
      <c r="A102" s="1" t="s">
        <v>3702</v>
      </c>
      <c r="B102" s="1" t="s">
        <v>3703</v>
      </c>
      <c r="C102" s="1" t="s">
        <v>3704</v>
      </c>
      <c r="D102" s="1" t="s">
        <v>3705</v>
      </c>
      <c r="E102" s="1" t="s">
        <v>3706</v>
      </c>
      <c r="F102" s="1">
        <v>6</v>
      </c>
      <c r="G102" s="1">
        <v>30</v>
      </c>
    </row>
    <row r="103" spans="1:7">
      <c r="A103" s="1" t="s">
        <v>3707</v>
      </c>
      <c r="B103" s="1" t="s">
        <v>3708</v>
      </c>
      <c r="C103" s="1" t="s">
        <v>3681</v>
      </c>
      <c r="D103" s="1" t="s">
        <v>3709</v>
      </c>
      <c r="E103" s="1" t="s">
        <v>3710</v>
      </c>
      <c r="F103" s="1">
        <v>8</v>
      </c>
      <c r="G103" s="1">
        <v>40</v>
      </c>
    </row>
    <row r="104" spans="1:7">
      <c r="A104" s="1" t="s">
        <v>3711</v>
      </c>
      <c r="B104" s="1" t="s">
        <v>3712</v>
      </c>
      <c r="C104" s="1" t="s">
        <v>3713</v>
      </c>
      <c r="D104" s="1" t="s">
        <v>3714</v>
      </c>
      <c r="E104" s="1" t="s">
        <v>3715</v>
      </c>
      <c r="F104" s="1">
        <v>10</v>
      </c>
      <c r="G104" s="1">
        <v>50</v>
      </c>
    </row>
    <row r="105" spans="1:7">
      <c r="A105" s="1" t="s">
        <v>3716</v>
      </c>
      <c r="B105" s="1" t="s">
        <v>3717</v>
      </c>
      <c r="C105" s="1" t="s">
        <v>3718</v>
      </c>
      <c r="D105" s="1" t="s">
        <v>3719</v>
      </c>
      <c r="E105" s="1" t="s">
        <v>3720</v>
      </c>
      <c r="F105" s="1">
        <v>6</v>
      </c>
      <c r="G105" s="1">
        <v>30</v>
      </c>
    </row>
    <row r="106" spans="1:7">
      <c r="A106" s="1" t="s">
        <v>3721</v>
      </c>
      <c r="B106" s="1" t="s">
        <v>3722</v>
      </c>
      <c r="C106" s="1" t="s">
        <v>3723</v>
      </c>
      <c r="D106" s="1" t="s">
        <v>3724</v>
      </c>
      <c r="E106" s="1" t="s">
        <v>3725</v>
      </c>
      <c r="F106" s="1">
        <v>8</v>
      </c>
      <c r="G106" s="1">
        <v>40</v>
      </c>
    </row>
    <row r="107" spans="1:7">
      <c r="A107" s="1" t="s">
        <v>3726</v>
      </c>
      <c r="B107" s="1" t="s">
        <v>3727</v>
      </c>
      <c r="C107" s="1" t="s">
        <v>3728</v>
      </c>
      <c r="D107" s="1" t="s">
        <v>3729</v>
      </c>
      <c r="E107" s="1" t="s">
        <v>3730</v>
      </c>
      <c r="F107" s="1">
        <v>10</v>
      </c>
      <c r="G107" s="1">
        <v>50</v>
      </c>
    </row>
  </sheetData>
  <mergeCells count="1">
    <mergeCell ref="A1:G1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3"/>
  <sheetViews>
    <sheetView workbookViewId="0">
      <pane ySplit="2" topLeftCell="A83" activePane="bottomLeft" state="frozen"/>
      <selection pane="bottomLeft" activeCell="D111" sqref="D111"/>
    </sheetView>
  </sheetViews>
  <sheetFormatPr defaultColWidth="8.375" defaultRowHeight="14.25"/>
  <cols>
    <col min="1" max="2" width="13.125" style="18" bestFit="1" customWidth="1"/>
    <col min="3" max="3" width="16.875" style="18" bestFit="1" customWidth="1"/>
    <col min="4" max="5" width="13.125" style="18" bestFit="1" customWidth="1"/>
    <col min="6" max="8" width="5.5" style="18" customWidth="1"/>
    <col min="9" max="9" width="7.25" style="18" bestFit="1" customWidth="1"/>
    <col min="10" max="16384" width="8.375" style="18"/>
  </cols>
  <sheetData>
    <row r="1" spans="1:9" s="9" customFormat="1" ht="33">
      <c r="A1" s="136" t="s">
        <v>103</v>
      </c>
      <c r="B1" s="136"/>
      <c r="C1" s="136"/>
      <c r="D1" s="136"/>
      <c r="E1" s="136"/>
      <c r="F1" s="136"/>
      <c r="G1" s="136"/>
      <c r="H1" s="136"/>
      <c r="I1" s="136"/>
    </row>
    <row r="2" spans="1:9" ht="28.5">
      <c r="A2" s="12" t="s">
        <v>3604</v>
      </c>
      <c r="B2" s="12" t="s">
        <v>3605</v>
      </c>
      <c r="C2" s="12" t="s">
        <v>3606</v>
      </c>
      <c r="D2" s="12" t="s">
        <v>3607</v>
      </c>
      <c r="E2" s="12" t="s">
        <v>3608</v>
      </c>
      <c r="F2" s="12" t="s">
        <v>3079</v>
      </c>
      <c r="G2" s="12" t="s">
        <v>3080</v>
      </c>
      <c r="H2" s="12" t="s">
        <v>3081</v>
      </c>
      <c r="I2" s="12" t="s">
        <v>2251</v>
      </c>
    </row>
    <row r="3" spans="1:9">
      <c r="A3" s="2" t="s">
        <v>3096</v>
      </c>
      <c r="B3" s="2" t="s">
        <v>3097</v>
      </c>
      <c r="C3" s="2" t="s">
        <v>3098</v>
      </c>
      <c r="D3" s="2" t="s">
        <v>3099</v>
      </c>
      <c r="E3" s="2" t="s">
        <v>3100</v>
      </c>
      <c r="F3" s="137">
        <v>5</v>
      </c>
      <c r="G3" s="137">
        <v>25</v>
      </c>
      <c r="H3" s="6">
        <v>6</v>
      </c>
      <c r="I3" s="6" t="s">
        <v>144</v>
      </c>
    </row>
    <row r="4" spans="1:9">
      <c r="A4" s="2" t="s">
        <v>3111</v>
      </c>
      <c r="B4" s="2" t="s">
        <v>3112</v>
      </c>
      <c r="C4" s="2" t="s">
        <v>3113</v>
      </c>
      <c r="D4" s="2" t="s">
        <v>3114</v>
      </c>
      <c r="E4" s="2" t="s">
        <v>3115</v>
      </c>
      <c r="F4" s="137"/>
      <c r="G4" s="137"/>
      <c r="H4" s="6">
        <v>4</v>
      </c>
      <c r="I4" s="6" t="s">
        <v>144</v>
      </c>
    </row>
    <row r="5" spans="1:9">
      <c r="A5" s="2" t="s">
        <v>3126</v>
      </c>
      <c r="B5" s="2" t="s">
        <v>3127</v>
      </c>
      <c r="C5" s="2" t="s">
        <v>3128</v>
      </c>
      <c r="D5" s="2" t="s">
        <v>3129</v>
      </c>
      <c r="E5" s="2" t="s">
        <v>3130</v>
      </c>
      <c r="F5" s="137"/>
      <c r="G5" s="137"/>
      <c r="H5" s="6">
        <v>7</v>
      </c>
      <c r="I5" s="6" t="s">
        <v>3082</v>
      </c>
    </row>
    <row r="6" spans="1:9">
      <c r="A6" s="2" t="s">
        <v>3141</v>
      </c>
      <c r="B6" s="2" t="s">
        <v>3142</v>
      </c>
      <c r="C6" s="2" t="s">
        <v>3143</v>
      </c>
      <c r="D6" s="2" t="s">
        <v>3144</v>
      </c>
      <c r="E6" s="2" t="s">
        <v>3145</v>
      </c>
      <c r="F6" s="137"/>
      <c r="G6" s="137"/>
      <c r="H6" s="6">
        <v>8</v>
      </c>
      <c r="I6" s="6" t="s">
        <v>3082</v>
      </c>
    </row>
    <row r="7" spans="1:9">
      <c r="A7" s="2" t="s">
        <v>3156</v>
      </c>
      <c r="B7" s="2" t="s">
        <v>3084</v>
      </c>
      <c r="C7" s="2" t="s">
        <v>3158</v>
      </c>
      <c r="D7" s="2" t="s">
        <v>3159</v>
      </c>
      <c r="E7" s="2" t="s">
        <v>3160</v>
      </c>
      <c r="F7" s="137"/>
      <c r="G7" s="137"/>
      <c r="H7" s="6">
        <v>3</v>
      </c>
      <c r="I7" s="6" t="s">
        <v>144</v>
      </c>
    </row>
    <row r="8" spans="1:9">
      <c r="A8" s="2" t="s">
        <v>3171</v>
      </c>
      <c r="B8" s="2" t="s">
        <v>3172</v>
      </c>
      <c r="C8" s="2" t="s">
        <v>3173</v>
      </c>
      <c r="D8" s="2" t="s">
        <v>3174</v>
      </c>
      <c r="E8" s="2" t="s">
        <v>3175</v>
      </c>
      <c r="F8" s="137"/>
      <c r="G8" s="137"/>
      <c r="H8" s="6">
        <v>8</v>
      </c>
      <c r="I8" s="6" t="s">
        <v>3082</v>
      </c>
    </row>
    <row r="9" spans="1:9" s="66" customFormat="1">
      <c r="A9" s="64" t="s">
        <v>3186</v>
      </c>
      <c r="B9" s="64" t="s">
        <v>3187</v>
      </c>
      <c r="C9" s="64" t="s">
        <v>3188</v>
      </c>
      <c r="D9" s="64" t="s">
        <v>3189</v>
      </c>
      <c r="E9" s="64" t="s">
        <v>3190</v>
      </c>
      <c r="F9" s="137"/>
      <c r="G9" s="137"/>
      <c r="H9" s="65">
        <v>11</v>
      </c>
      <c r="I9" s="65" t="s">
        <v>144</v>
      </c>
    </row>
    <row r="10" spans="1:9" s="69" customFormat="1">
      <c r="A10" s="67" t="s">
        <v>3201</v>
      </c>
      <c r="B10" s="67" t="s">
        <v>3202</v>
      </c>
      <c r="C10" s="67" t="s">
        <v>3203</v>
      </c>
      <c r="D10" s="67" t="s">
        <v>3204</v>
      </c>
      <c r="E10" s="67" t="s">
        <v>3205</v>
      </c>
      <c r="F10" s="137"/>
      <c r="G10" s="137"/>
      <c r="H10" s="68">
        <v>18</v>
      </c>
      <c r="I10" s="68" t="s">
        <v>144</v>
      </c>
    </row>
    <row r="11" spans="1:9">
      <c r="A11" s="2" t="s">
        <v>3216</v>
      </c>
      <c r="B11" s="2" t="s">
        <v>3217</v>
      </c>
      <c r="C11" s="2" t="s">
        <v>3218</v>
      </c>
      <c r="D11" s="2" t="s">
        <v>3219</v>
      </c>
      <c r="E11" s="2" t="s">
        <v>3220</v>
      </c>
      <c r="F11" s="137"/>
      <c r="G11" s="137"/>
      <c r="H11" s="6">
        <v>5</v>
      </c>
      <c r="I11" s="6" t="s">
        <v>144</v>
      </c>
    </row>
    <row r="12" spans="1:9">
      <c r="A12" s="2" t="s">
        <v>3230</v>
      </c>
      <c r="B12" s="2" t="s">
        <v>3231</v>
      </c>
      <c r="C12" s="2" t="s">
        <v>3143</v>
      </c>
      <c r="D12" s="2" t="s">
        <v>3232</v>
      </c>
      <c r="E12" s="2" t="s">
        <v>3233</v>
      </c>
      <c r="F12" s="137"/>
      <c r="G12" s="137"/>
      <c r="H12" s="6">
        <v>7</v>
      </c>
      <c r="I12" s="6" t="s">
        <v>3082</v>
      </c>
    </row>
    <row r="13" spans="1:9">
      <c r="A13" s="13" t="s">
        <v>3514</v>
      </c>
      <c r="B13" s="13" t="s">
        <v>3515</v>
      </c>
      <c r="C13" s="13" t="s">
        <v>3098</v>
      </c>
      <c r="D13" s="13" t="s">
        <v>3516</v>
      </c>
      <c r="E13" s="13" t="s">
        <v>3517</v>
      </c>
      <c r="F13" s="137"/>
      <c r="G13" s="137"/>
      <c r="H13" s="6">
        <v>8</v>
      </c>
      <c r="I13" s="6" t="s">
        <v>146</v>
      </c>
    </row>
    <row r="14" spans="1:9">
      <c r="A14" s="13" t="s">
        <v>3524</v>
      </c>
      <c r="B14" s="13" t="s">
        <v>3525</v>
      </c>
      <c r="C14" s="13" t="s">
        <v>3113</v>
      </c>
      <c r="D14" s="13" t="s">
        <v>3526</v>
      </c>
      <c r="E14" s="13" t="s">
        <v>3527</v>
      </c>
      <c r="F14" s="137"/>
      <c r="G14" s="137"/>
      <c r="H14" s="6">
        <v>4</v>
      </c>
      <c r="I14" s="6" t="s">
        <v>146</v>
      </c>
    </row>
    <row r="15" spans="1:9">
      <c r="A15" s="13" t="s">
        <v>3536</v>
      </c>
      <c r="B15" s="13" t="s">
        <v>3537</v>
      </c>
      <c r="C15" s="13" t="s">
        <v>3128</v>
      </c>
      <c r="D15" s="13" t="s">
        <v>3538</v>
      </c>
      <c r="E15" s="13" t="s">
        <v>3539</v>
      </c>
      <c r="F15" s="137"/>
      <c r="G15" s="137"/>
      <c r="H15" s="6">
        <v>6</v>
      </c>
      <c r="I15" s="6" t="s">
        <v>146</v>
      </c>
    </row>
    <row r="16" spans="1:9">
      <c r="A16" s="13" t="s">
        <v>3548</v>
      </c>
      <c r="B16" s="13" t="s">
        <v>3549</v>
      </c>
      <c r="C16" s="13" t="s">
        <v>3143</v>
      </c>
      <c r="D16" s="13" t="s">
        <v>3550</v>
      </c>
      <c r="E16" s="13" t="s">
        <v>3551</v>
      </c>
      <c r="F16" s="137"/>
      <c r="G16" s="137"/>
      <c r="H16" s="6">
        <v>4</v>
      </c>
      <c r="I16" s="6" t="s">
        <v>146</v>
      </c>
    </row>
    <row r="17" spans="1:9">
      <c r="A17" s="13" t="s">
        <v>3560</v>
      </c>
      <c r="B17" s="13" t="s">
        <v>3561</v>
      </c>
      <c r="C17" s="13" t="s">
        <v>3158</v>
      </c>
      <c r="D17" s="13" t="s">
        <v>3562</v>
      </c>
      <c r="E17" s="13" t="s">
        <v>3563</v>
      </c>
      <c r="F17" s="137"/>
      <c r="G17" s="137"/>
      <c r="H17" s="6">
        <v>5</v>
      </c>
      <c r="I17" s="6" t="s">
        <v>146</v>
      </c>
    </row>
    <row r="18" spans="1:9">
      <c r="A18" s="13" t="s">
        <v>3572</v>
      </c>
      <c r="B18" s="13" t="s">
        <v>3573</v>
      </c>
      <c r="C18" s="13" t="s">
        <v>3173</v>
      </c>
      <c r="D18" s="13" t="s">
        <v>3574</v>
      </c>
      <c r="E18" s="13" t="s">
        <v>3575</v>
      </c>
      <c r="F18" s="137"/>
      <c r="G18" s="137"/>
      <c r="H18" s="6">
        <v>7</v>
      </c>
      <c r="I18" s="6" t="s">
        <v>146</v>
      </c>
    </row>
    <row r="19" spans="1:9">
      <c r="A19" s="13" t="s">
        <v>3584</v>
      </c>
      <c r="B19" s="13" t="s">
        <v>3585</v>
      </c>
      <c r="C19" s="13" t="s">
        <v>3188</v>
      </c>
      <c r="D19" s="13" t="s">
        <v>3586</v>
      </c>
      <c r="E19" s="13" t="s">
        <v>3587</v>
      </c>
      <c r="F19" s="137"/>
      <c r="G19" s="137"/>
      <c r="H19" s="6">
        <v>9</v>
      </c>
      <c r="I19" s="6" t="s">
        <v>145</v>
      </c>
    </row>
    <row r="20" spans="1:9">
      <c r="A20" s="20"/>
      <c r="B20" s="20"/>
      <c r="C20" s="20"/>
      <c r="D20" s="20"/>
      <c r="E20" s="20"/>
      <c r="H20" s="24">
        <f>SUM(H3:H19)</f>
        <v>120</v>
      </c>
    </row>
    <row r="21" spans="1:9">
      <c r="A21" s="2" t="s">
        <v>3271</v>
      </c>
      <c r="B21" s="2" t="s">
        <v>3272</v>
      </c>
      <c r="C21" s="2" t="s">
        <v>3098</v>
      </c>
      <c r="D21" s="2" t="s">
        <v>3273</v>
      </c>
      <c r="E21" s="2" t="s">
        <v>3274</v>
      </c>
      <c r="F21" s="137">
        <v>6</v>
      </c>
      <c r="G21" s="137">
        <v>30</v>
      </c>
      <c r="H21" s="6">
        <v>11</v>
      </c>
      <c r="I21" s="6" t="s">
        <v>148</v>
      </c>
    </row>
    <row r="22" spans="1:9">
      <c r="A22" s="2" t="s">
        <v>3285</v>
      </c>
      <c r="B22" s="2" t="s">
        <v>3286</v>
      </c>
      <c r="C22" s="2" t="s">
        <v>3113</v>
      </c>
      <c r="D22" s="2" t="s">
        <v>3287</v>
      </c>
      <c r="E22" s="2" t="s">
        <v>3288</v>
      </c>
      <c r="F22" s="137"/>
      <c r="G22" s="137"/>
      <c r="H22" s="6">
        <v>9</v>
      </c>
      <c r="I22" s="6" t="s">
        <v>148</v>
      </c>
    </row>
    <row r="23" spans="1:9">
      <c r="A23" s="2" t="s">
        <v>3297</v>
      </c>
      <c r="B23" s="2" t="s">
        <v>3298</v>
      </c>
      <c r="C23" s="2" t="s">
        <v>3128</v>
      </c>
      <c r="D23" s="2" t="s">
        <v>3299</v>
      </c>
      <c r="E23" s="2" t="s">
        <v>3300</v>
      </c>
      <c r="F23" s="137"/>
      <c r="G23" s="137"/>
      <c r="H23" s="6">
        <v>5</v>
      </c>
      <c r="I23" s="6" t="s">
        <v>147</v>
      </c>
    </row>
    <row r="24" spans="1:9">
      <c r="A24" s="2" t="s">
        <v>3309</v>
      </c>
      <c r="B24" s="2" t="s">
        <v>3310</v>
      </c>
      <c r="C24" s="2" t="s">
        <v>3143</v>
      </c>
      <c r="D24" s="2" t="s">
        <v>3311</v>
      </c>
      <c r="E24" s="2" t="s">
        <v>3312</v>
      </c>
      <c r="F24" s="137"/>
      <c r="G24" s="137"/>
      <c r="H24" s="6">
        <v>12</v>
      </c>
      <c r="I24" s="6" t="s">
        <v>147</v>
      </c>
    </row>
    <row r="25" spans="1:9">
      <c r="A25" s="2" t="s">
        <v>3321</v>
      </c>
      <c r="B25" s="2" t="s">
        <v>3322</v>
      </c>
      <c r="C25" s="2" t="s">
        <v>3158</v>
      </c>
      <c r="D25" s="2" t="s">
        <v>3323</v>
      </c>
      <c r="E25" s="2" t="s">
        <v>3324</v>
      </c>
      <c r="F25" s="137"/>
      <c r="G25" s="137"/>
      <c r="H25" s="6">
        <v>11</v>
      </c>
      <c r="I25" s="6" t="s">
        <v>147</v>
      </c>
    </row>
    <row r="26" spans="1:9">
      <c r="A26" s="2" t="s">
        <v>3333</v>
      </c>
      <c r="B26" s="2" t="s">
        <v>3334</v>
      </c>
      <c r="C26" s="2" t="s">
        <v>3173</v>
      </c>
      <c r="D26" s="2" t="s">
        <v>3335</v>
      </c>
      <c r="E26" s="2" t="s">
        <v>3336</v>
      </c>
      <c r="F26" s="137"/>
      <c r="G26" s="137"/>
      <c r="H26" s="6">
        <v>5</v>
      </c>
      <c r="I26" s="6" t="s">
        <v>147</v>
      </c>
    </row>
    <row r="27" spans="1:9">
      <c r="A27" s="2" t="s">
        <v>3477</v>
      </c>
      <c r="B27" s="2" t="s">
        <v>3478</v>
      </c>
      <c r="C27" s="2" t="s">
        <v>3188</v>
      </c>
      <c r="D27" s="2" t="s">
        <v>3479</v>
      </c>
      <c r="E27" s="2" t="s">
        <v>3480</v>
      </c>
      <c r="F27" s="137"/>
      <c r="G27" s="137"/>
      <c r="H27" s="6">
        <v>10</v>
      </c>
      <c r="I27" s="6" t="s">
        <v>147</v>
      </c>
    </row>
    <row r="28" spans="1:9">
      <c r="A28" s="2" t="s">
        <v>3489</v>
      </c>
      <c r="B28" s="2" t="s">
        <v>3490</v>
      </c>
      <c r="C28" s="2" t="s">
        <v>3203</v>
      </c>
      <c r="D28" s="2" t="s">
        <v>3491</v>
      </c>
      <c r="E28" s="2" t="s">
        <v>3492</v>
      </c>
      <c r="F28" s="137"/>
      <c r="G28" s="137"/>
      <c r="H28" s="6">
        <v>7</v>
      </c>
      <c r="I28" s="6" t="s">
        <v>147</v>
      </c>
    </row>
    <row r="29" spans="1:9">
      <c r="A29" s="2" t="s">
        <v>3501</v>
      </c>
      <c r="B29" s="2" t="s">
        <v>3502</v>
      </c>
      <c r="C29" s="2" t="s">
        <v>3503</v>
      </c>
      <c r="D29" s="2" t="s">
        <v>3504</v>
      </c>
      <c r="E29" s="2" t="s">
        <v>3505</v>
      </c>
      <c r="F29" s="137"/>
      <c r="G29" s="137"/>
      <c r="H29" s="6">
        <v>6</v>
      </c>
      <c r="I29" s="6" t="s">
        <v>147</v>
      </c>
    </row>
    <row r="30" spans="1:9">
      <c r="A30" s="13" t="s">
        <v>3596</v>
      </c>
      <c r="B30" s="13" t="s">
        <v>3597</v>
      </c>
      <c r="C30" s="13" t="s">
        <v>3203</v>
      </c>
      <c r="D30" s="13" t="s">
        <v>3598</v>
      </c>
      <c r="E30" s="13" t="s">
        <v>3599</v>
      </c>
      <c r="F30" s="137"/>
      <c r="G30" s="137"/>
      <c r="H30" s="6">
        <v>10</v>
      </c>
      <c r="I30" s="6" t="s">
        <v>3085</v>
      </c>
    </row>
    <row r="31" spans="1:9">
      <c r="A31" s="2" t="s">
        <v>3616</v>
      </c>
      <c r="B31" s="2" t="s">
        <v>3617</v>
      </c>
      <c r="C31" s="2" t="s">
        <v>3618</v>
      </c>
      <c r="D31" s="2" t="s">
        <v>3619</v>
      </c>
      <c r="E31" s="2" t="s">
        <v>3620</v>
      </c>
      <c r="F31" s="137"/>
      <c r="G31" s="137"/>
      <c r="H31" s="6">
        <v>1</v>
      </c>
      <c r="I31" s="6" t="s">
        <v>2434</v>
      </c>
    </row>
    <row r="32" spans="1:9" s="69" customFormat="1">
      <c r="A32" s="67" t="s">
        <v>3631</v>
      </c>
      <c r="B32" s="67" t="s">
        <v>3632</v>
      </c>
      <c r="C32" s="67" t="s">
        <v>3633</v>
      </c>
      <c r="D32" s="67" t="s">
        <v>3634</v>
      </c>
      <c r="E32" s="67" t="s">
        <v>3635</v>
      </c>
      <c r="F32" s="137"/>
      <c r="G32" s="137"/>
      <c r="H32" s="68"/>
      <c r="I32" s="68" t="s">
        <v>2434</v>
      </c>
    </row>
    <row r="33" spans="1:9">
      <c r="A33" s="2" t="s">
        <v>3646</v>
      </c>
      <c r="B33" s="2" t="s">
        <v>3647</v>
      </c>
      <c r="C33" s="2" t="s">
        <v>3648</v>
      </c>
      <c r="D33" s="2" t="s">
        <v>3649</v>
      </c>
      <c r="E33" s="2" t="s">
        <v>3650</v>
      </c>
      <c r="F33" s="137"/>
      <c r="G33" s="137"/>
      <c r="H33" s="6"/>
      <c r="I33" s="6" t="s">
        <v>2434</v>
      </c>
    </row>
    <row r="34" spans="1:9">
      <c r="A34" s="2" t="s">
        <v>3661</v>
      </c>
      <c r="B34" s="2" t="s">
        <v>3662</v>
      </c>
      <c r="C34" s="2" t="s">
        <v>3663</v>
      </c>
      <c r="D34" s="2" t="s">
        <v>3664</v>
      </c>
      <c r="E34" s="2" t="s">
        <v>3665</v>
      </c>
      <c r="F34" s="137"/>
      <c r="G34" s="137"/>
      <c r="H34" s="6">
        <v>3</v>
      </c>
      <c r="I34" s="6" t="s">
        <v>3085</v>
      </c>
    </row>
    <row r="35" spans="1:9">
      <c r="A35" s="2" t="s">
        <v>3674</v>
      </c>
      <c r="B35" s="2" t="s">
        <v>3675</v>
      </c>
      <c r="C35" s="2" t="s">
        <v>3676</v>
      </c>
      <c r="D35" s="2" t="s">
        <v>3677</v>
      </c>
      <c r="E35" s="2" t="s">
        <v>3678</v>
      </c>
      <c r="F35" s="137"/>
      <c r="G35" s="137"/>
      <c r="H35" s="6">
        <v>1</v>
      </c>
      <c r="I35" s="6" t="s">
        <v>3085</v>
      </c>
    </row>
    <row r="36" spans="1:9">
      <c r="A36" s="2" t="s">
        <v>3689</v>
      </c>
      <c r="B36" s="2" t="s">
        <v>3690</v>
      </c>
      <c r="C36" s="2" t="s">
        <v>3691</v>
      </c>
      <c r="D36" s="2" t="s">
        <v>3692</v>
      </c>
      <c r="E36" s="2" t="s">
        <v>3693</v>
      </c>
      <c r="F36" s="137"/>
      <c r="G36" s="137"/>
      <c r="H36" s="6">
        <v>2</v>
      </c>
      <c r="I36" s="6" t="s">
        <v>3085</v>
      </c>
    </row>
    <row r="37" spans="1:9">
      <c r="A37" s="2" t="s">
        <v>3702</v>
      </c>
      <c r="B37" s="2" t="s">
        <v>3703</v>
      </c>
      <c r="C37" s="2" t="s">
        <v>3704</v>
      </c>
      <c r="D37" s="2" t="s">
        <v>3705</v>
      </c>
      <c r="E37" s="2" t="s">
        <v>3706</v>
      </c>
      <c r="F37" s="137"/>
      <c r="G37" s="137"/>
      <c r="H37" s="6">
        <v>1</v>
      </c>
      <c r="I37" s="6" t="s">
        <v>3085</v>
      </c>
    </row>
    <row r="38" spans="1:9">
      <c r="A38" s="2" t="s">
        <v>3716</v>
      </c>
      <c r="B38" s="2" t="s">
        <v>3717</v>
      </c>
      <c r="C38" s="2" t="s">
        <v>3718</v>
      </c>
      <c r="D38" s="2" t="s">
        <v>3719</v>
      </c>
      <c r="E38" s="2" t="s">
        <v>3720</v>
      </c>
      <c r="F38" s="137"/>
      <c r="G38" s="137"/>
      <c r="H38" s="6"/>
      <c r="I38" s="6" t="s">
        <v>2434</v>
      </c>
    </row>
    <row r="39" spans="1:9">
      <c r="A39" s="20"/>
      <c r="B39" s="20"/>
      <c r="C39" s="20"/>
      <c r="D39" s="20"/>
      <c r="E39" s="20"/>
      <c r="H39" s="24">
        <f>SUM(H21:H38)</f>
        <v>94</v>
      </c>
    </row>
    <row r="40" spans="1:9">
      <c r="A40" s="2" t="s">
        <v>3101</v>
      </c>
      <c r="B40" s="2" t="s">
        <v>3102</v>
      </c>
      <c r="C40" s="2" t="s">
        <v>3103</v>
      </c>
      <c r="D40" s="2" t="s">
        <v>3104</v>
      </c>
      <c r="E40" s="2" t="s">
        <v>3105</v>
      </c>
      <c r="F40" s="137">
        <v>7</v>
      </c>
      <c r="G40" s="137">
        <v>35</v>
      </c>
      <c r="H40" s="6">
        <v>2</v>
      </c>
      <c r="I40" s="6" t="s">
        <v>2253</v>
      </c>
    </row>
    <row r="41" spans="1:9">
      <c r="A41" s="2" t="s">
        <v>3116</v>
      </c>
      <c r="B41" s="2" t="s">
        <v>3117</v>
      </c>
      <c r="C41" s="2" t="s">
        <v>3118</v>
      </c>
      <c r="D41" s="2" t="s">
        <v>3119</v>
      </c>
      <c r="E41" s="2" t="s">
        <v>3120</v>
      </c>
      <c r="F41" s="137"/>
      <c r="G41" s="137"/>
      <c r="H41" s="6">
        <v>3</v>
      </c>
      <c r="I41" s="6" t="s">
        <v>2253</v>
      </c>
    </row>
    <row r="42" spans="1:9">
      <c r="A42" s="2" t="s">
        <v>3131</v>
      </c>
      <c r="B42" s="2" t="s">
        <v>3132</v>
      </c>
      <c r="C42" s="2" t="s">
        <v>3133</v>
      </c>
      <c r="D42" s="2" t="s">
        <v>3134</v>
      </c>
      <c r="E42" s="2" t="s">
        <v>3135</v>
      </c>
      <c r="F42" s="137"/>
      <c r="G42" s="137"/>
      <c r="H42" s="6">
        <v>7</v>
      </c>
      <c r="I42" s="6" t="s">
        <v>2252</v>
      </c>
    </row>
    <row r="43" spans="1:9">
      <c r="A43" s="2" t="s">
        <v>3146</v>
      </c>
      <c r="B43" s="2" t="s">
        <v>3147</v>
      </c>
      <c r="C43" s="2" t="s">
        <v>3148</v>
      </c>
      <c r="D43" s="2" t="s">
        <v>3149</v>
      </c>
      <c r="E43" s="2" t="s">
        <v>3150</v>
      </c>
      <c r="F43" s="137"/>
      <c r="G43" s="137"/>
      <c r="H43" s="6">
        <v>10</v>
      </c>
      <c r="I43" s="6" t="s">
        <v>2252</v>
      </c>
    </row>
    <row r="44" spans="1:9">
      <c r="A44" s="2" t="s">
        <v>3161</v>
      </c>
      <c r="B44" s="2" t="s">
        <v>3162</v>
      </c>
      <c r="C44" s="2" t="s">
        <v>3163</v>
      </c>
      <c r="D44" s="2" t="s">
        <v>3164</v>
      </c>
      <c r="E44" s="2" t="s">
        <v>3165</v>
      </c>
      <c r="F44" s="137"/>
      <c r="G44" s="137"/>
      <c r="H44" s="6">
        <v>5</v>
      </c>
      <c r="I44" s="6" t="s">
        <v>2252</v>
      </c>
    </row>
    <row r="45" spans="1:9">
      <c r="A45" s="2" t="s">
        <v>3176</v>
      </c>
      <c r="B45" s="2" t="s">
        <v>3177</v>
      </c>
      <c r="C45" s="2" t="s">
        <v>3178</v>
      </c>
      <c r="D45" s="2" t="s">
        <v>3179</v>
      </c>
      <c r="E45" s="2" t="s">
        <v>3180</v>
      </c>
      <c r="F45" s="137"/>
      <c r="G45" s="137"/>
      <c r="H45" s="6">
        <v>2</v>
      </c>
      <c r="I45" s="6" t="s">
        <v>2252</v>
      </c>
    </row>
    <row r="46" spans="1:9">
      <c r="A46" s="2" t="s">
        <v>3191</v>
      </c>
      <c r="B46" s="2" t="s">
        <v>3192</v>
      </c>
      <c r="C46" s="2" t="s">
        <v>3193</v>
      </c>
      <c r="D46" s="2" t="s">
        <v>3194</v>
      </c>
      <c r="E46" s="2" t="s">
        <v>3195</v>
      </c>
      <c r="F46" s="137"/>
      <c r="G46" s="137"/>
      <c r="H46" s="6">
        <v>5</v>
      </c>
      <c r="I46" s="6" t="s">
        <v>2252</v>
      </c>
    </row>
    <row r="47" spans="1:9">
      <c r="A47" s="2" t="s">
        <v>3206</v>
      </c>
      <c r="B47" s="2" t="s">
        <v>3207</v>
      </c>
      <c r="C47" s="2" t="s">
        <v>3208</v>
      </c>
      <c r="D47" s="2" t="s">
        <v>3209</v>
      </c>
      <c r="E47" s="2" t="s">
        <v>3210</v>
      </c>
      <c r="F47" s="137"/>
      <c r="G47" s="137"/>
      <c r="H47" s="6">
        <v>7</v>
      </c>
      <c r="I47" s="6" t="s">
        <v>2252</v>
      </c>
    </row>
    <row r="48" spans="1:9">
      <c r="A48" s="2" t="s">
        <v>3221</v>
      </c>
      <c r="B48" s="2" t="s">
        <v>3222</v>
      </c>
      <c r="C48" s="2" t="s">
        <v>3223</v>
      </c>
      <c r="D48" s="2" t="s">
        <v>3224</v>
      </c>
      <c r="E48" s="2" t="s">
        <v>3225</v>
      </c>
      <c r="F48" s="137"/>
      <c r="G48" s="137"/>
      <c r="H48" s="6">
        <v>6</v>
      </c>
      <c r="I48" s="6" t="s">
        <v>2252</v>
      </c>
    </row>
    <row r="49" spans="1:9">
      <c r="A49" s="2" t="s">
        <v>3234</v>
      </c>
      <c r="B49" s="2" t="s">
        <v>3235</v>
      </c>
      <c r="C49" s="2" t="s">
        <v>3236</v>
      </c>
      <c r="D49" s="2" t="s">
        <v>3237</v>
      </c>
      <c r="E49" s="2" t="s">
        <v>3238</v>
      </c>
      <c r="F49" s="137"/>
      <c r="G49" s="137"/>
      <c r="H49" s="6">
        <v>2</v>
      </c>
      <c r="I49" s="6" t="s">
        <v>2252</v>
      </c>
    </row>
    <row r="50" spans="1:9" s="69" customFormat="1">
      <c r="A50" s="67" t="s">
        <v>3518</v>
      </c>
      <c r="B50" s="67" t="s">
        <v>3519</v>
      </c>
      <c r="C50" s="67" t="s">
        <v>3277</v>
      </c>
      <c r="D50" s="67" t="s">
        <v>3086</v>
      </c>
      <c r="E50" s="67" t="s">
        <v>3087</v>
      </c>
      <c r="F50" s="137"/>
      <c r="G50" s="137"/>
      <c r="H50" s="68">
        <v>4</v>
      </c>
      <c r="I50" s="68" t="s">
        <v>3088</v>
      </c>
    </row>
    <row r="51" spans="1:9">
      <c r="A51" s="13" t="s">
        <v>3528</v>
      </c>
      <c r="B51" s="13" t="s">
        <v>3529</v>
      </c>
      <c r="C51" s="13" t="s">
        <v>3118</v>
      </c>
      <c r="D51" s="13" t="s">
        <v>3530</v>
      </c>
      <c r="E51" s="13" t="s">
        <v>3531</v>
      </c>
      <c r="F51" s="137"/>
      <c r="G51" s="137"/>
      <c r="H51" s="6">
        <v>6</v>
      </c>
      <c r="I51" s="6" t="s">
        <v>3088</v>
      </c>
    </row>
    <row r="52" spans="1:9">
      <c r="A52" s="13" t="s">
        <v>3540</v>
      </c>
      <c r="B52" s="13" t="s">
        <v>3541</v>
      </c>
      <c r="C52" s="13" t="s">
        <v>3133</v>
      </c>
      <c r="D52" s="13" t="s">
        <v>3542</v>
      </c>
      <c r="E52" s="13" t="s">
        <v>3543</v>
      </c>
      <c r="F52" s="137"/>
      <c r="G52" s="137"/>
      <c r="H52" s="6">
        <v>7</v>
      </c>
      <c r="I52" s="6" t="s">
        <v>511</v>
      </c>
    </row>
    <row r="53" spans="1:9">
      <c r="A53" s="13" t="s">
        <v>3552</v>
      </c>
      <c r="B53" s="13" t="s">
        <v>3553</v>
      </c>
      <c r="C53" s="13" t="s">
        <v>3148</v>
      </c>
      <c r="D53" s="13" t="s">
        <v>3554</v>
      </c>
      <c r="E53" s="13" t="s">
        <v>3555</v>
      </c>
      <c r="F53" s="137"/>
      <c r="G53" s="137"/>
      <c r="H53" s="6">
        <v>2</v>
      </c>
      <c r="I53" s="6" t="s">
        <v>511</v>
      </c>
    </row>
    <row r="54" spans="1:9">
      <c r="A54" s="13" t="s">
        <v>3564</v>
      </c>
      <c r="B54" s="13" t="s">
        <v>3565</v>
      </c>
      <c r="C54" s="13" t="s">
        <v>3163</v>
      </c>
      <c r="D54" s="13" t="s">
        <v>3566</v>
      </c>
      <c r="E54" s="13" t="s">
        <v>3567</v>
      </c>
      <c r="F54" s="137"/>
      <c r="G54" s="137"/>
      <c r="H54" s="6">
        <v>3</v>
      </c>
      <c r="I54" s="6" t="s">
        <v>511</v>
      </c>
    </row>
    <row r="55" spans="1:9">
      <c r="A55" s="13" t="s">
        <v>3576</v>
      </c>
      <c r="B55" s="13" t="s">
        <v>3577</v>
      </c>
      <c r="C55" s="13" t="s">
        <v>3178</v>
      </c>
      <c r="D55" s="13" t="s">
        <v>3578</v>
      </c>
      <c r="E55" s="13" t="s">
        <v>3579</v>
      </c>
      <c r="F55" s="137"/>
      <c r="G55" s="137"/>
      <c r="H55" s="6">
        <v>6</v>
      </c>
      <c r="I55" s="6" t="s">
        <v>511</v>
      </c>
    </row>
    <row r="56" spans="1:9">
      <c r="A56" s="13" t="s">
        <v>3588</v>
      </c>
      <c r="B56" s="13" t="s">
        <v>3589</v>
      </c>
      <c r="C56" s="13" t="s">
        <v>3193</v>
      </c>
      <c r="D56" s="13" t="s">
        <v>3590</v>
      </c>
      <c r="E56" s="13" t="s">
        <v>3591</v>
      </c>
      <c r="F56" s="137"/>
      <c r="G56" s="137"/>
      <c r="H56" s="6">
        <v>7</v>
      </c>
      <c r="I56" s="6" t="s">
        <v>511</v>
      </c>
    </row>
    <row r="57" spans="1:9">
      <c r="A57" s="20"/>
      <c r="B57" s="20"/>
      <c r="C57" s="20"/>
      <c r="D57" s="20"/>
      <c r="E57" s="20"/>
      <c r="H57" s="24">
        <f>SUM(H40:H56)</f>
        <v>84</v>
      </c>
    </row>
    <row r="58" spans="1:9">
      <c r="A58" s="2" t="s">
        <v>3275</v>
      </c>
      <c r="B58" s="2" t="s">
        <v>3276</v>
      </c>
      <c r="C58" s="2" t="s">
        <v>3277</v>
      </c>
      <c r="D58" s="2" t="s">
        <v>3278</v>
      </c>
      <c r="E58" s="2" t="s">
        <v>3279</v>
      </c>
      <c r="F58" s="137">
        <v>8</v>
      </c>
      <c r="G58" s="137">
        <v>40</v>
      </c>
      <c r="H58" s="6">
        <v>9</v>
      </c>
      <c r="I58" s="6" t="s">
        <v>2255</v>
      </c>
    </row>
    <row r="59" spans="1:9">
      <c r="A59" s="2" t="s">
        <v>3289</v>
      </c>
      <c r="B59" s="2" t="s">
        <v>3290</v>
      </c>
      <c r="C59" s="2" t="s">
        <v>3118</v>
      </c>
      <c r="D59" s="2" t="s">
        <v>3291</v>
      </c>
      <c r="E59" s="2" t="s">
        <v>3292</v>
      </c>
      <c r="F59" s="137"/>
      <c r="G59" s="137"/>
      <c r="H59" s="6">
        <v>5</v>
      </c>
      <c r="I59" s="6" t="s">
        <v>2255</v>
      </c>
    </row>
    <row r="60" spans="1:9">
      <c r="A60" s="2" t="s">
        <v>3301</v>
      </c>
      <c r="B60" s="2" t="s">
        <v>3302</v>
      </c>
      <c r="C60" s="2" t="s">
        <v>3133</v>
      </c>
      <c r="D60" s="2" t="s">
        <v>3303</v>
      </c>
      <c r="E60" s="2" t="s">
        <v>3304</v>
      </c>
      <c r="F60" s="137"/>
      <c r="G60" s="137"/>
      <c r="H60" s="6">
        <v>5</v>
      </c>
      <c r="I60" s="6" t="s">
        <v>2254</v>
      </c>
    </row>
    <row r="61" spans="1:9">
      <c r="A61" s="2" t="s">
        <v>3313</v>
      </c>
      <c r="B61" s="2" t="s">
        <v>3314</v>
      </c>
      <c r="C61" s="2" t="s">
        <v>3148</v>
      </c>
      <c r="D61" s="2" t="s">
        <v>3315</v>
      </c>
      <c r="E61" s="2" t="s">
        <v>3316</v>
      </c>
      <c r="F61" s="137"/>
      <c r="G61" s="137"/>
      <c r="H61" s="6">
        <v>1</v>
      </c>
      <c r="I61" s="6" t="s">
        <v>2254</v>
      </c>
    </row>
    <row r="62" spans="1:9">
      <c r="A62" s="2" t="s">
        <v>3325</v>
      </c>
      <c r="B62" s="2" t="s">
        <v>3326</v>
      </c>
      <c r="C62" s="2" t="s">
        <v>3163</v>
      </c>
      <c r="D62" s="2" t="s">
        <v>3327</v>
      </c>
      <c r="E62" s="2" t="s">
        <v>3328</v>
      </c>
      <c r="F62" s="137"/>
      <c r="G62" s="137"/>
      <c r="H62" s="6">
        <v>4</v>
      </c>
      <c r="I62" s="6" t="s">
        <v>2254</v>
      </c>
    </row>
    <row r="63" spans="1:9">
      <c r="A63" s="2" t="s">
        <v>3337</v>
      </c>
      <c r="B63" s="2" t="s">
        <v>3338</v>
      </c>
      <c r="C63" s="2" t="s">
        <v>3178</v>
      </c>
      <c r="D63" s="2" t="s">
        <v>3339</v>
      </c>
      <c r="E63" s="2" t="s">
        <v>3340</v>
      </c>
      <c r="F63" s="137"/>
      <c r="G63" s="137"/>
      <c r="H63" s="6">
        <v>6</v>
      </c>
      <c r="I63" s="6" t="s">
        <v>2254</v>
      </c>
    </row>
    <row r="64" spans="1:9">
      <c r="A64" s="2" t="s">
        <v>3481</v>
      </c>
      <c r="B64" s="2" t="s">
        <v>3482</v>
      </c>
      <c r="C64" s="2" t="s">
        <v>3193</v>
      </c>
      <c r="D64" s="2" t="s">
        <v>3483</v>
      </c>
      <c r="E64" s="2" t="s">
        <v>3484</v>
      </c>
      <c r="F64" s="137"/>
      <c r="G64" s="137"/>
      <c r="H64" s="6">
        <v>6</v>
      </c>
      <c r="I64" s="6" t="s">
        <v>2254</v>
      </c>
    </row>
    <row r="65" spans="1:9">
      <c r="A65" s="2" t="s">
        <v>3493</v>
      </c>
      <c r="B65" s="2" t="s">
        <v>3494</v>
      </c>
      <c r="C65" s="2" t="s">
        <v>3208</v>
      </c>
      <c r="D65" s="2" t="s">
        <v>3495</v>
      </c>
      <c r="E65" s="2" t="s">
        <v>3496</v>
      </c>
      <c r="F65" s="137"/>
      <c r="G65" s="137"/>
      <c r="H65" s="6">
        <v>2</v>
      </c>
      <c r="I65" s="6" t="s">
        <v>2254</v>
      </c>
    </row>
    <row r="66" spans="1:9">
      <c r="A66" s="2" t="s">
        <v>3506</v>
      </c>
      <c r="B66" s="2" t="s">
        <v>3507</v>
      </c>
      <c r="C66" s="2" t="s">
        <v>3208</v>
      </c>
      <c r="D66" s="2" t="s">
        <v>3508</v>
      </c>
      <c r="E66" s="2" t="s">
        <v>3509</v>
      </c>
      <c r="F66" s="137"/>
      <c r="G66" s="137"/>
      <c r="H66" s="6">
        <v>3</v>
      </c>
      <c r="I66" s="6" t="s">
        <v>2254</v>
      </c>
    </row>
    <row r="67" spans="1:9">
      <c r="A67" s="13" t="s">
        <v>3600</v>
      </c>
      <c r="B67" s="13" t="s">
        <v>3601</v>
      </c>
      <c r="C67" s="13" t="s">
        <v>3208</v>
      </c>
      <c r="D67" s="13" t="s">
        <v>3602</v>
      </c>
      <c r="E67" s="13" t="s">
        <v>3603</v>
      </c>
      <c r="F67" s="137"/>
      <c r="G67" s="137"/>
      <c r="H67" s="6">
        <v>3</v>
      </c>
      <c r="I67" s="6" t="s">
        <v>2256</v>
      </c>
    </row>
    <row r="68" spans="1:9" s="69" customFormat="1">
      <c r="A68" s="67" t="s">
        <v>3621</v>
      </c>
      <c r="B68" s="67" t="s">
        <v>3622</v>
      </c>
      <c r="C68" s="67" t="s">
        <v>3623</v>
      </c>
      <c r="D68" s="67" t="s">
        <v>3624</v>
      </c>
      <c r="E68" s="67" t="s">
        <v>3625</v>
      </c>
      <c r="F68" s="137"/>
      <c r="G68" s="137"/>
      <c r="H68" s="68">
        <v>1</v>
      </c>
      <c r="I68" s="68" t="s">
        <v>2433</v>
      </c>
    </row>
    <row r="69" spans="1:9">
      <c r="A69" s="2" t="s">
        <v>3636</v>
      </c>
      <c r="B69" s="2" t="s">
        <v>3637</v>
      </c>
      <c r="C69" s="2" t="s">
        <v>3638</v>
      </c>
      <c r="D69" s="2" t="s">
        <v>3639</v>
      </c>
      <c r="E69" s="2" t="s">
        <v>3640</v>
      </c>
      <c r="F69" s="137"/>
      <c r="G69" s="137"/>
      <c r="H69" s="6"/>
      <c r="I69" s="6" t="s">
        <v>2433</v>
      </c>
    </row>
    <row r="70" spans="1:9">
      <c r="A70" s="2" t="s">
        <v>3651</v>
      </c>
      <c r="B70" s="2" t="s">
        <v>3652</v>
      </c>
      <c r="C70" s="2" t="s">
        <v>3653</v>
      </c>
      <c r="D70" s="2" t="s">
        <v>3654</v>
      </c>
      <c r="E70" s="2" t="s">
        <v>3655</v>
      </c>
      <c r="F70" s="137"/>
      <c r="G70" s="137"/>
      <c r="H70" s="6"/>
      <c r="I70" s="6" t="s">
        <v>2433</v>
      </c>
    </row>
    <row r="71" spans="1:9">
      <c r="A71" s="2" t="s">
        <v>3666</v>
      </c>
      <c r="B71" s="2" t="s">
        <v>3667</v>
      </c>
      <c r="C71" s="2" t="s">
        <v>3668</v>
      </c>
      <c r="D71" s="2" t="s">
        <v>3669</v>
      </c>
      <c r="E71" s="2" t="s">
        <v>3670</v>
      </c>
      <c r="F71" s="137"/>
      <c r="G71" s="137"/>
      <c r="H71" s="6"/>
      <c r="I71" s="6" t="s">
        <v>2433</v>
      </c>
    </row>
    <row r="72" spans="1:9">
      <c r="A72" s="2" t="s">
        <v>3679</v>
      </c>
      <c r="B72" s="2" t="s">
        <v>3680</v>
      </c>
      <c r="C72" s="2" t="s">
        <v>3681</v>
      </c>
      <c r="D72" s="2" t="s">
        <v>3682</v>
      </c>
      <c r="E72" s="2" t="s">
        <v>3683</v>
      </c>
      <c r="F72" s="137"/>
      <c r="G72" s="137"/>
      <c r="H72" s="6">
        <v>2</v>
      </c>
      <c r="I72" s="6" t="s">
        <v>2256</v>
      </c>
    </row>
    <row r="73" spans="1:9">
      <c r="A73" s="2" t="s">
        <v>3694</v>
      </c>
      <c r="B73" s="2" t="s">
        <v>3695</v>
      </c>
      <c r="C73" s="2" t="s">
        <v>3696</v>
      </c>
      <c r="D73" s="2" t="s">
        <v>3092</v>
      </c>
      <c r="E73" s="2" t="s">
        <v>3093</v>
      </c>
      <c r="F73" s="137"/>
      <c r="G73" s="137"/>
      <c r="H73" s="6">
        <v>2</v>
      </c>
      <c r="I73" s="6" t="s">
        <v>2256</v>
      </c>
    </row>
    <row r="74" spans="1:9">
      <c r="A74" s="2" t="s">
        <v>3707</v>
      </c>
      <c r="B74" s="2" t="s">
        <v>3708</v>
      </c>
      <c r="C74" s="2" t="s">
        <v>3681</v>
      </c>
      <c r="D74" s="2" t="s">
        <v>3709</v>
      </c>
      <c r="E74" s="2" t="s">
        <v>3710</v>
      </c>
      <c r="F74" s="137"/>
      <c r="G74" s="137"/>
      <c r="H74" s="6"/>
      <c r="I74" s="6" t="s">
        <v>2433</v>
      </c>
    </row>
    <row r="75" spans="1:9">
      <c r="A75" s="2" t="s">
        <v>3721</v>
      </c>
      <c r="B75" s="2" t="s">
        <v>3722</v>
      </c>
      <c r="C75" s="2" t="s">
        <v>3723</v>
      </c>
      <c r="D75" s="2" t="s">
        <v>3724</v>
      </c>
      <c r="E75" s="2" t="s">
        <v>3725</v>
      </c>
      <c r="F75" s="137"/>
      <c r="G75" s="137"/>
      <c r="H75" s="6">
        <v>2</v>
      </c>
      <c r="I75" s="6" t="s">
        <v>2433</v>
      </c>
    </row>
    <row r="76" spans="1:9">
      <c r="A76" s="20"/>
      <c r="B76" s="20"/>
      <c r="C76" s="20"/>
      <c r="D76" s="20"/>
      <c r="E76" s="20"/>
      <c r="H76" s="24">
        <f>SUM(H58:H75)</f>
        <v>51</v>
      </c>
    </row>
    <row r="77" spans="1:9">
      <c r="A77" s="20" t="s">
        <v>3106</v>
      </c>
      <c r="B77" s="20" t="s">
        <v>3107</v>
      </c>
      <c r="C77" s="20" t="s">
        <v>3108</v>
      </c>
      <c r="D77" s="20" t="s">
        <v>3109</v>
      </c>
      <c r="E77" s="20" t="s">
        <v>3110</v>
      </c>
      <c r="F77" s="138">
        <v>9</v>
      </c>
      <c r="G77" s="138">
        <v>45</v>
      </c>
      <c r="H77" s="18">
        <v>1</v>
      </c>
      <c r="I77" s="18" t="s">
        <v>2258</v>
      </c>
    </row>
    <row r="78" spans="1:9">
      <c r="A78" s="20" t="s">
        <v>3121</v>
      </c>
      <c r="B78" s="20" t="s">
        <v>3122</v>
      </c>
      <c r="C78" s="20" t="s">
        <v>3123</v>
      </c>
      <c r="D78" s="20" t="s">
        <v>3124</v>
      </c>
      <c r="E78" s="20" t="s">
        <v>3125</v>
      </c>
      <c r="F78" s="138"/>
      <c r="G78" s="138"/>
      <c r="H78" s="18">
        <v>4</v>
      </c>
      <c r="I78" s="18" t="s">
        <v>2258</v>
      </c>
    </row>
    <row r="79" spans="1:9">
      <c r="A79" s="20" t="s">
        <v>3136</v>
      </c>
      <c r="B79" s="20" t="s">
        <v>3137</v>
      </c>
      <c r="C79" s="20" t="s">
        <v>3138</v>
      </c>
      <c r="D79" s="20" t="s">
        <v>3139</v>
      </c>
      <c r="E79" s="20" t="s">
        <v>3140</v>
      </c>
      <c r="F79" s="138"/>
      <c r="G79" s="138"/>
      <c r="H79" s="18">
        <v>2</v>
      </c>
      <c r="I79" s="18" t="s">
        <v>2257</v>
      </c>
    </row>
    <row r="80" spans="1:9">
      <c r="A80" s="20" t="s">
        <v>3151</v>
      </c>
      <c r="B80" s="20" t="s">
        <v>3152</v>
      </c>
      <c r="C80" s="20" t="s">
        <v>3153</v>
      </c>
      <c r="D80" s="20" t="s">
        <v>3154</v>
      </c>
      <c r="E80" s="20" t="s">
        <v>3155</v>
      </c>
      <c r="F80" s="138"/>
      <c r="G80" s="138"/>
      <c r="H80" s="18">
        <v>1</v>
      </c>
      <c r="I80" s="18" t="s">
        <v>2257</v>
      </c>
    </row>
    <row r="81" spans="1:9">
      <c r="A81" s="20" t="s">
        <v>3166</v>
      </c>
      <c r="B81" s="20" t="s">
        <v>3167</v>
      </c>
      <c r="C81" s="20" t="s">
        <v>3168</v>
      </c>
      <c r="D81" s="20" t="s">
        <v>3169</v>
      </c>
      <c r="E81" s="20" t="s">
        <v>3170</v>
      </c>
      <c r="F81" s="138"/>
      <c r="G81" s="138"/>
      <c r="H81" s="18">
        <v>1</v>
      </c>
      <c r="I81" s="18" t="s">
        <v>2257</v>
      </c>
    </row>
    <row r="82" spans="1:9">
      <c r="A82" s="20" t="s">
        <v>3181</v>
      </c>
      <c r="B82" s="20" t="s">
        <v>3182</v>
      </c>
      <c r="C82" s="20" t="s">
        <v>3183</v>
      </c>
      <c r="D82" s="20" t="s">
        <v>3184</v>
      </c>
      <c r="E82" s="20" t="s">
        <v>3185</v>
      </c>
      <c r="F82" s="138"/>
      <c r="G82" s="138"/>
      <c r="H82" s="18">
        <v>2</v>
      </c>
      <c r="I82" s="18" t="s">
        <v>2257</v>
      </c>
    </row>
    <row r="83" spans="1:9">
      <c r="A83" s="20" t="s">
        <v>3196</v>
      </c>
      <c r="B83" s="20" t="s">
        <v>3197</v>
      </c>
      <c r="C83" s="20" t="s">
        <v>3198</v>
      </c>
      <c r="D83" s="20" t="s">
        <v>3199</v>
      </c>
      <c r="E83" s="20" t="s">
        <v>3200</v>
      </c>
      <c r="F83" s="138"/>
      <c r="G83" s="138"/>
      <c r="H83" s="18">
        <v>4</v>
      </c>
      <c r="I83" s="18" t="s">
        <v>2257</v>
      </c>
    </row>
    <row r="84" spans="1:9">
      <c r="A84" s="20" t="s">
        <v>3211</v>
      </c>
      <c r="B84" s="20" t="s">
        <v>3212</v>
      </c>
      <c r="C84" s="20" t="s">
        <v>3213</v>
      </c>
      <c r="D84" s="20" t="s">
        <v>3214</v>
      </c>
      <c r="E84" s="20" t="s">
        <v>3215</v>
      </c>
      <c r="F84" s="138"/>
      <c r="G84" s="138"/>
      <c r="H84" s="18">
        <v>2</v>
      </c>
      <c r="I84" s="18" t="s">
        <v>2257</v>
      </c>
    </row>
    <row r="85" spans="1:9">
      <c r="A85" s="20" t="s">
        <v>3226</v>
      </c>
      <c r="B85" s="20" t="s">
        <v>3227</v>
      </c>
      <c r="C85" s="20" t="s">
        <v>3123</v>
      </c>
      <c r="D85" s="20" t="s">
        <v>3228</v>
      </c>
      <c r="E85" s="20" t="s">
        <v>3229</v>
      </c>
      <c r="F85" s="138"/>
      <c r="G85" s="138"/>
      <c r="H85" s="18">
        <v>5</v>
      </c>
      <c r="I85" s="18" t="s">
        <v>2257</v>
      </c>
    </row>
    <row r="86" spans="1:9">
      <c r="A86" s="20" t="s">
        <v>3239</v>
      </c>
      <c r="B86" s="20" t="s">
        <v>3240</v>
      </c>
      <c r="C86" s="20" t="s">
        <v>3268</v>
      </c>
      <c r="D86" s="20" t="s">
        <v>3269</v>
      </c>
      <c r="E86" s="20" t="s">
        <v>3270</v>
      </c>
      <c r="F86" s="138"/>
      <c r="G86" s="138"/>
      <c r="H86" s="18">
        <v>1</v>
      </c>
      <c r="I86" s="18" t="s">
        <v>2257</v>
      </c>
    </row>
    <row r="87" spans="1:9">
      <c r="A87" s="20" t="s">
        <v>3520</v>
      </c>
      <c r="B87" s="20" t="s">
        <v>3521</v>
      </c>
      <c r="C87" s="20" t="s">
        <v>3108</v>
      </c>
      <c r="D87" s="20" t="s">
        <v>3522</v>
      </c>
      <c r="E87" s="20" t="s">
        <v>3523</v>
      </c>
      <c r="F87" s="138"/>
      <c r="G87" s="138"/>
      <c r="H87" s="18">
        <v>3</v>
      </c>
      <c r="I87" s="18" t="s">
        <v>2260</v>
      </c>
    </row>
    <row r="88" spans="1:9">
      <c r="A88" s="20" t="s">
        <v>3532</v>
      </c>
      <c r="B88" s="20" t="s">
        <v>3533</v>
      </c>
      <c r="C88" s="20" t="s">
        <v>3123</v>
      </c>
      <c r="D88" s="20" t="s">
        <v>3534</v>
      </c>
      <c r="E88" s="20" t="s">
        <v>3535</v>
      </c>
      <c r="F88" s="138"/>
      <c r="G88" s="138"/>
      <c r="H88" s="18">
        <v>4</v>
      </c>
      <c r="I88" s="18" t="s">
        <v>2260</v>
      </c>
    </row>
    <row r="89" spans="1:9">
      <c r="A89" s="20" t="s">
        <v>3544</v>
      </c>
      <c r="B89" s="20" t="s">
        <v>3545</v>
      </c>
      <c r="C89" s="20" t="s">
        <v>3138</v>
      </c>
      <c r="D89" s="20" t="s">
        <v>3546</v>
      </c>
      <c r="E89" s="20" t="s">
        <v>3547</v>
      </c>
      <c r="F89" s="138"/>
      <c r="G89" s="138"/>
      <c r="H89" s="18">
        <v>2</v>
      </c>
      <c r="I89" s="18" t="s">
        <v>2259</v>
      </c>
    </row>
    <row r="90" spans="1:9">
      <c r="A90" s="20" t="s">
        <v>3556</v>
      </c>
      <c r="B90" s="20" t="s">
        <v>3557</v>
      </c>
      <c r="C90" s="20" t="s">
        <v>3153</v>
      </c>
      <c r="D90" s="20" t="s">
        <v>3558</v>
      </c>
      <c r="E90" s="20" t="s">
        <v>3559</v>
      </c>
      <c r="F90" s="138"/>
      <c r="G90" s="138"/>
      <c r="H90" s="18">
        <v>2</v>
      </c>
      <c r="I90" s="18" t="s">
        <v>2259</v>
      </c>
    </row>
    <row r="91" spans="1:9">
      <c r="A91" s="20" t="s">
        <v>3568</v>
      </c>
      <c r="B91" s="20" t="s">
        <v>3569</v>
      </c>
      <c r="C91" s="20" t="s">
        <v>3089</v>
      </c>
      <c r="D91" s="20" t="s">
        <v>3570</v>
      </c>
      <c r="E91" s="20" t="s">
        <v>3571</v>
      </c>
      <c r="F91" s="138"/>
      <c r="G91" s="138"/>
      <c r="H91" s="18">
        <v>2</v>
      </c>
      <c r="I91" s="18" t="s">
        <v>2259</v>
      </c>
    </row>
    <row r="92" spans="1:9">
      <c r="A92" s="20" t="s">
        <v>3580</v>
      </c>
      <c r="B92" s="20" t="s">
        <v>3581</v>
      </c>
      <c r="C92" s="20" t="s">
        <v>3183</v>
      </c>
      <c r="D92" s="20" t="s">
        <v>3582</v>
      </c>
      <c r="E92" s="20" t="s">
        <v>3583</v>
      </c>
      <c r="F92" s="138"/>
      <c r="G92" s="138"/>
      <c r="H92" s="18">
        <v>3</v>
      </c>
      <c r="I92" s="18" t="s">
        <v>2259</v>
      </c>
    </row>
    <row r="93" spans="1:9">
      <c r="A93" s="20" t="s">
        <v>3592</v>
      </c>
      <c r="B93" s="20" t="s">
        <v>3593</v>
      </c>
      <c r="C93" s="20" t="s">
        <v>3198</v>
      </c>
      <c r="D93" s="20" t="s">
        <v>3594</v>
      </c>
      <c r="E93" s="20" t="s">
        <v>3595</v>
      </c>
      <c r="F93" s="138"/>
      <c r="G93" s="138"/>
      <c r="I93" s="18" t="s">
        <v>2259</v>
      </c>
    </row>
    <row r="94" spans="1:9">
      <c r="A94" s="20"/>
      <c r="B94" s="20"/>
      <c r="C94" s="20"/>
      <c r="D94" s="20"/>
      <c r="E94" s="20"/>
      <c r="H94" s="24">
        <f>SUM(H77:H93)</f>
        <v>39</v>
      </c>
    </row>
    <row r="95" spans="1:9">
      <c r="A95" s="13" t="s">
        <v>3280</v>
      </c>
      <c r="B95" s="13" t="s">
        <v>3281</v>
      </c>
      <c r="C95" s="13" t="s">
        <v>3090</v>
      </c>
      <c r="D95" s="13" t="s">
        <v>3283</v>
      </c>
      <c r="E95" s="13" t="s">
        <v>3284</v>
      </c>
      <c r="F95" s="137">
        <v>10</v>
      </c>
      <c r="G95" s="137">
        <v>50</v>
      </c>
      <c r="H95" s="6">
        <v>3</v>
      </c>
      <c r="I95" s="6" t="s">
        <v>3091</v>
      </c>
    </row>
    <row r="96" spans="1:9">
      <c r="A96" s="2" t="s">
        <v>3293</v>
      </c>
      <c r="B96" s="2" t="s">
        <v>3294</v>
      </c>
      <c r="C96" s="2" t="s">
        <v>3123</v>
      </c>
      <c r="D96" s="2" t="s">
        <v>3295</v>
      </c>
      <c r="E96" s="2" t="s">
        <v>3296</v>
      </c>
      <c r="F96" s="137"/>
      <c r="G96" s="137"/>
      <c r="H96" s="6">
        <v>1</v>
      </c>
      <c r="I96" s="6" t="s">
        <v>3091</v>
      </c>
    </row>
    <row r="97" spans="1:9">
      <c r="A97" s="13" t="s">
        <v>3305</v>
      </c>
      <c r="B97" s="13" t="s">
        <v>3306</v>
      </c>
      <c r="C97" s="13" t="s">
        <v>3138</v>
      </c>
      <c r="D97" s="13" t="s">
        <v>3307</v>
      </c>
      <c r="E97" s="13" t="s">
        <v>3308</v>
      </c>
      <c r="F97" s="137"/>
      <c r="G97" s="137"/>
      <c r="H97" s="6"/>
      <c r="I97" s="6" t="s">
        <v>3078</v>
      </c>
    </row>
    <row r="98" spans="1:9">
      <c r="A98" s="13" t="s">
        <v>3317</v>
      </c>
      <c r="B98" s="13" t="s">
        <v>3318</v>
      </c>
      <c r="C98" s="13" t="s">
        <v>3153</v>
      </c>
      <c r="D98" s="13" t="s">
        <v>3319</v>
      </c>
      <c r="E98" s="13" t="s">
        <v>3320</v>
      </c>
      <c r="F98" s="137"/>
      <c r="G98" s="137"/>
      <c r="H98" s="6">
        <v>1</v>
      </c>
      <c r="I98" s="6" t="s">
        <v>3078</v>
      </c>
    </row>
    <row r="99" spans="1:9">
      <c r="A99" s="13" t="s">
        <v>3329</v>
      </c>
      <c r="B99" s="13" t="s">
        <v>3330</v>
      </c>
      <c r="C99" s="13" t="s">
        <v>3168</v>
      </c>
      <c r="D99" s="13" t="s">
        <v>3331</v>
      </c>
      <c r="E99" s="13" t="s">
        <v>3332</v>
      </c>
      <c r="F99" s="137"/>
      <c r="G99" s="137"/>
      <c r="H99" s="6"/>
      <c r="I99" s="6" t="s">
        <v>3078</v>
      </c>
    </row>
    <row r="100" spans="1:9">
      <c r="A100" s="2" t="s">
        <v>3341</v>
      </c>
      <c r="B100" s="2" t="s">
        <v>3342</v>
      </c>
      <c r="C100" s="2" t="s">
        <v>3183</v>
      </c>
      <c r="D100" s="2" t="s">
        <v>3475</v>
      </c>
      <c r="E100" s="2" t="s">
        <v>3476</v>
      </c>
      <c r="F100" s="137"/>
      <c r="G100" s="137"/>
      <c r="H100" s="6">
        <v>1</v>
      </c>
      <c r="I100" s="6" t="s">
        <v>3078</v>
      </c>
    </row>
    <row r="101" spans="1:9">
      <c r="A101" s="2" t="s">
        <v>3485</v>
      </c>
      <c r="B101" s="2" t="s">
        <v>3486</v>
      </c>
      <c r="C101" s="2" t="s">
        <v>3198</v>
      </c>
      <c r="D101" s="2" t="s">
        <v>3487</v>
      </c>
      <c r="E101" s="2" t="s">
        <v>3488</v>
      </c>
      <c r="F101" s="137"/>
      <c r="G101" s="137"/>
      <c r="H101" s="6">
        <v>2</v>
      </c>
      <c r="I101" s="6" t="s">
        <v>3078</v>
      </c>
    </row>
    <row r="102" spans="1:9">
      <c r="A102" s="2" t="s">
        <v>3497</v>
      </c>
      <c r="B102" s="2" t="s">
        <v>3498</v>
      </c>
      <c r="C102" s="2" t="s">
        <v>3213</v>
      </c>
      <c r="D102" s="2" t="s">
        <v>3499</v>
      </c>
      <c r="E102" s="2" t="s">
        <v>3500</v>
      </c>
      <c r="F102" s="137"/>
      <c r="G102" s="137"/>
      <c r="H102" s="6">
        <v>3</v>
      </c>
      <c r="I102" s="6" t="s">
        <v>3078</v>
      </c>
    </row>
    <row r="103" spans="1:9">
      <c r="A103" s="13" t="s">
        <v>3510</v>
      </c>
      <c r="B103" s="13" t="s">
        <v>3511</v>
      </c>
      <c r="C103" s="13" t="s">
        <v>3213</v>
      </c>
      <c r="D103" s="13" t="s">
        <v>3512</v>
      </c>
      <c r="E103" s="13" t="s">
        <v>3513</v>
      </c>
      <c r="F103" s="137"/>
      <c r="G103" s="137"/>
      <c r="H103" s="6">
        <v>3</v>
      </c>
      <c r="I103" s="6" t="s">
        <v>3078</v>
      </c>
    </row>
    <row r="104" spans="1:9">
      <c r="A104" s="2" t="s">
        <v>3611</v>
      </c>
      <c r="B104" s="2" t="s">
        <v>3612</v>
      </c>
      <c r="C104" s="2" t="s">
        <v>3613</v>
      </c>
      <c r="D104" s="2" t="s">
        <v>3614</v>
      </c>
      <c r="E104" s="2" t="s">
        <v>3615</v>
      </c>
      <c r="F104" s="137"/>
      <c r="G104" s="137"/>
      <c r="H104" s="6"/>
      <c r="I104" s="6" t="s">
        <v>2262</v>
      </c>
    </row>
    <row r="105" spans="1:9">
      <c r="A105" s="13" t="s">
        <v>3626</v>
      </c>
      <c r="B105" s="13" t="s">
        <v>3627</v>
      </c>
      <c r="C105" s="13" t="s">
        <v>3628</v>
      </c>
      <c r="D105" s="13" t="s">
        <v>3629</v>
      </c>
      <c r="E105" s="13" t="s">
        <v>3630</v>
      </c>
      <c r="F105" s="137"/>
      <c r="G105" s="137"/>
      <c r="H105" s="6"/>
      <c r="I105" s="6" t="s">
        <v>2262</v>
      </c>
    </row>
    <row r="106" spans="1:9">
      <c r="A106" s="13" t="s">
        <v>3641</v>
      </c>
      <c r="B106" s="13" t="s">
        <v>3642</v>
      </c>
      <c r="C106" s="13" t="s">
        <v>3643</v>
      </c>
      <c r="D106" s="13" t="s">
        <v>3644</v>
      </c>
      <c r="E106" s="13" t="s">
        <v>3645</v>
      </c>
      <c r="F106" s="137"/>
      <c r="G106" s="137"/>
      <c r="H106" s="6">
        <v>2</v>
      </c>
      <c r="I106" s="6" t="s">
        <v>2261</v>
      </c>
    </row>
    <row r="107" spans="1:9">
      <c r="A107" s="13" t="s">
        <v>3656</v>
      </c>
      <c r="B107" s="13" t="s">
        <v>3657</v>
      </c>
      <c r="C107" s="13" t="s">
        <v>3658</v>
      </c>
      <c r="D107" s="13" t="s">
        <v>3659</v>
      </c>
      <c r="E107" s="13" t="s">
        <v>3660</v>
      </c>
      <c r="F107" s="137"/>
      <c r="G107" s="137"/>
      <c r="H107" s="6"/>
      <c r="I107" s="6" t="s">
        <v>2261</v>
      </c>
    </row>
    <row r="108" spans="1:9">
      <c r="A108" s="13" t="s">
        <v>3671</v>
      </c>
      <c r="B108" s="13" t="s">
        <v>3672</v>
      </c>
      <c r="C108" s="13" t="s">
        <v>3673</v>
      </c>
      <c r="D108" s="13" t="s">
        <v>3094</v>
      </c>
      <c r="E108" s="13" t="s">
        <v>3095</v>
      </c>
      <c r="F108" s="137"/>
      <c r="G108" s="137"/>
      <c r="H108" s="6">
        <v>2</v>
      </c>
      <c r="I108" s="6" t="s">
        <v>2261</v>
      </c>
    </row>
    <row r="109" spans="1:9">
      <c r="A109" s="13" t="s">
        <v>3684</v>
      </c>
      <c r="B109" s="13" t="s">
        <v>3685</v>
      </c>
      <c r="C109" s="13" t="s">
        <v>3686</v>
      </c>
      <c r="D109" s="13" t="s">
        <v>3687</v>
      </c>
      <c r="E109" s="13" t="s">
        <v>3688</v>
      </c>
      <c r="F109" s="137"/>
      <c r="G109" s="137"/>
      <c r="H109" s="6"/>
      <c r="I109" s="6" t="s">
        <v>2261</v>
      </c>
    </row>
    <row r="110" spans="1:9">
      <c r="A110" s="13" t="s">
        <v>3697</v>
      </c>
      <c r="B110" s="13" t="s">
        <v>3698</v>
      </c>
      <c r="C110" s="13" t="s">
        <v>3699</v>
      </c>
      <c r="D110" s="13" t="s">
        <v>3700</v>
      </c>
      <c r="E110" s="13" t="s">
        <v>3701</v>
      </c>
      <c r="F110" s="137"/>
      <c r="G110" s="137"/>
      <c r="H110" s="6">
        <v>2</v>
      </c>
      <c r="I110" s="6" t="s">
        <v>2261</v>
      </c>
    </row>
    <row r="111" spans="1:9">
      <c r="A111" s="13" t="s">
        <v>3711</v>
      </c>
      <c r="B111" s="13" t="s">
        <v>3712</v>
      </c>
      <c r="C111" s="13" t="s">
        <v>3713</v>
      </c>
      <c r="D111" s="13" t="s">
        <v>3714</v>
      </c>
      <c r="E111" s="13" t="s">
        <v>3715</v>
      </c>
      <c r="F111" s="137"/>
      <c r="G111" s="137"/>
      <c r="H111" s="6">
        <v>2</v>
      </c>
      <c r="I111" s="6" t="s">
        <v>2261</v>
      </c>
    </row>
    <row r="112" spans="1:9">
      <c r="A112" s="2" t="s">
        <v>3726</v>
      </c>
      <c r="B112" s="2" t="s">
        <v>3727</v>
      </c>
      <c r="C112" s="2" t="s">
        <v>3728</v>
      </c>
      <c r="D112" s="2" t="s">
        <v>3729</v>
      </c>
      <c r="E112" s="2" t="s">
        <v>3730</v>
      </c>
      <c r="F112" s="137"/>
      <c r="G112" s="137"/>
      <c r="H112" s="6">
        <v>1</v>
      </c>
      <c r="I112" s="6" t="s">
        <v>2261</v>
      </c>
    </row>
    <row r="113" spans="1:8">
      <c r="A113" s="20"/>
      <c r="B113" s="20"/>
      <c r="C113" s="20"/>
      <c r="D113" s="20"/>
      <c r="E113" s="20"/>
      <c r="H113" s="24">
        <f>SUM(H95:H112)</f>
        <v>23</v>
      </c>
    </row>
  </sheetData>
  <autoFilter ref="A2:I113"/>
  <mergeCells count="13">
    <mergeCell ref="F95:F112"/>
    <mergeCell ref="G95:G112"/>
    <mergeCell ref="F40:F56"/>
    <mergeCell ref="G40:G56"/>
    <mergeCell ref="F77:F93"/>
    <mergeCell ref="G77:G93"/>
    <mergeCell ref="F58:F75"/>
    <mergeCell ref="G58:G75"/>
    <mergeCell ref="A1:I1"/>
    <mergeCell ref="F3:F19"/>
    <mergeCell ref="G3:G19"/>
    <mergeCell ref="F21:F38"/>
    <mergeCell ref="G21:G38"/>
  </mergeCells>
  <phoneticPr fontId="2" type="noConversion"/>
  <printOptions horizontalCentered="1"/>
  <pageMargins left="0.39370078740157483" right="0.74803149606299213" top="0.39370078740157483" bottom="0.39370078740157483" header="0.51181102362204722" footer="0.39370078740157483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03"/>
  <sheetViews>
    <sheetView workbookViewId="0">
      <pane ySplit="2" topLeftCell="A53" activePane="bottomLeft" state="frozen"/>
      <selection pane="bottomLeft" activeCell="C59" sqref="C59"/>
    </sheetView>
  </sheetViews>
  <sheetFormatPr defaultColWidth="10.625" defaultRowHeight="14.25"/>
  <cols>
    <col min="1" max="2" width="10.625" style="25" customWidth="1"/>
    <col min="3" max="3" width="11.625" style="25" customWidth="1"/>
    <col min="4" max="5" width="10.625" style="25" customWidth="1"/>
    <col min="6" max="6" width="11.625" style="25" customWidth="1"/>
    <col min="7" max="8" width="10.625" style="25" customWidth="1"/>
    <col min="9" max="9" width="11.625" style="25" customWidth="1"/>
    <col min="10" max="16384" width="10.625" style="25"/>
  </cols>
  <sheetData>
    <row r="1" spans="1:9" ht="33">
      <c r="A1" s="142" t="s">
        <v>590</v>
      </c>
      <c r="B1" s="142"/>
      <c r="C1" s="142"/>
      <c r="D1" s="142"/>
      <c r="E1" s="142"/>
      <c r="F1" s="142"/>
      <c r="G1" s="142"/>
      <c r="H1" s="142"/>
      <c r="I1" s="142"/>
    </row>
    <row r="2" spans="1:9" ht="28.5">
      <c r="A2" s="5" t="s">
        <v>3972</v>
      </c>
      <c r="B2" s="5" t="s">
        <v>3731</v>
      </c>
      <c r="C2" s="5" t="s">
        <v>3732</v>
      </c>
      <c r="D2" s="5" t="s">
        <v>3972</v>
      </c>
      <c r="E2" s="5" t="s">
        <v>3731</v>
      </c>
      <c r="F2" s="5" t="s">
        <v>3732</v>
      </c>
      <c r="G2" s="5" t="s">
        <v>3972</v>
      </c>
      <c r="H2" s="5" t="s">
        <v>3731</v>
      </c>
      <c r="I2" s="5" t="s">
        <v>3732</v>
      </c>
    </row>
    <row r="3" spans="1:9">
      <c r="A3" s="140" t="s">
        <v>2524</v>
      </c>
      <c r="B3" s="139" t="s">
        <v>2306</v>
      </c>
      <c r="C3" s="2" t="s">
        <v>2307</v>
      </c>
      <c r="D3" s="139" t="s">
        <v>2526</v>
      </c>
      <c r="E3" s="2" t="s">
        <v>3863</v>
      </c>
      <c r="F3" s="2" t="s">
        <v>3866</v>
      </c>
      <c r="G3" s="139" t="s">
        <v>3832</v>
      </c>
      <c r="H3" s="2" t="s">
        <v>3833</v>
      </c>
      <c r="I3" s="2" t="s">
        <v>3821</v>
      </c>
    </row>
    <row r="4" spans="1:9">
      <c r="A4" s="140"/>
      <c r="B4" s="139"/>
      <c r="C4" s="2" t="s">
        <v>2305</v>
      </c>
      <c r="D4" s="139"/>
      <c r="E4" s="139" t="s">
        <v>3864</v>
      </c>
      <c r="F4" s="2" t="s">
        <v>2308</v>
      </c>
      <c r="G4" s="139"/>
      <c r="H4" s="2" t="s">
        <v>3834</v>
      </c>
      <c r="I4" s="2" t="s">
        <v>3837</v>
      </c>
    </row>
    <row r="5" spans="1:9">
      <c r="A5" s="140"/>
      <c r="B5" s="2" t="s">
        <v>3734</v>
      </c>
      <c r="C5" s="2" t="s">
        <v>1651</v>
      </c>
      <c r="D5" s="139"/>
      <c r="E5" s="139"/>
      <c r="F5" s="2" t="s">
        <v>3888</v>
      </c>
      <c r="G5" s="139"/>
      <c r="H5" s="2" t="s">
        <v>3835</v>
      </c>
      <c r="I5" s="2" t="s">
        <v>1656</v>
      </c>
    </row>
    <row r="6" spans="1:9">
      <c r="A6" s="140"/>
      <c r="B6" s="2" t="s">
        <v>3735</v>
      </c>
      <c r="C6" s="2" t="s">
        <v>1652</v>
      </c>
      <c r="D6" s="139"/>
      <c r="E6" s="2" t="s">
        <v>3865</v>
      </c>
      <c r="F6" s="2" t="s">
        <v>1659</v>
      </c>
      <c r="G6" s="139"/>
      <c r="H6" s="2" t="s">
        <v>3836</v>
      </c>
      <c r="I6" s="2" t="s">
        <v>3789</v>
      </c>
    </row>
    <row r="7" spans="1:9">
      <c r="A7" s="140"/>
      <c r="B7" s="2" t="s">
        <v>3736</v>
      </c>
      <c r="C7" s="2" t="s">
        <v>3740</v>
      </c>
      <c r="D7" s="139"/>
      <c r="E7" s="139" t="s">
        <v>2525</v>
      </c>
      <c r="F7" s="2" t="s">
        <v>1654</v>
      </c>
      <c r="G7" s="139" t="s">
        <v>3838</v>
      </c>
      <c r="H7" s="2" t="s">
        <v>3839</v>
      </c>
      <c r="I7" s="2" t="s">
        <v>3821</v>
      </c>
    </row>
    <row r="8" spans="1:9">
      <c r="A8" s="140"/>
      <c r="B8" s="2" t="s">
        <v>3737</v>
      </c>
      <c r="C8" s="2" t="s">
        <v>3740</v>
      </c>
      <c r="D8" s="139"/>
      <c r="E8" s="139"/>
      <c r="F8" s="2" t="s">
        <v>2439</v>
      </c>
      <c r="G8" s="139"/>
      <c r="H8" s="2" t="s">
        <v>3840</v>
      </c>
      <c r="I8" s="2" t="s">
        <v>3842</v>
      </c>
    </row>
    <row r="9" spans="1:9">
      <c r="A9" s="140"/>
      <c r="B9" s="2" t="s">
        <v>3738</v>
      </c>
      <c r="C9" s="2" t="s">
        <v>1541</v>
      </c>
      <c r="D9" s="139" t="s">
        <v>3868</v>
      </c>
      <c r="E9" s="2" t="s">
        <v>3869</v>
      </c>
      <c r="F9" s="2" t="s">
        <v>131</v>
      </c>
      <c r="G9" s="139"/>
      <c r="H9" s="139" t="s">
        <v>3841</v>
      </c>
      <c r="I9" s="2" t="s">
        <v>2309</v>
      </c>
    </row>
    <row r="10" spans="1:9">
      <c r="A10" s="140"/>
      <c r="B10" s="137" t="s">
        <v>2522</v>
      </c>
      <c r="C10" s="2" t="s">
        <v>2310</v>
      </c>
      <c r="D10" s="139"/>
      <c r="E10" s="2" t="s">
        <v>3870</v>
      </c>
      <c r="F10" s="2" t="s">
        <v>3873</v>
      </c>
      <c r="G10" s="139"/>
      <c r="H10" s="139"/>
      <c r="I10" s="2" t="s">
        <v>1657</v>
      </c>
    </row>
    <row r="11" spans="1:9">
      <c r="A11" s="140"/>
      <c r="B11" s="137"/>
      <c r="C11" s="2" t="s">
        <v>2438</v>
      </c>
      <c r="D11" s="139"/>
      <c r="E11" s="2" t="s">
        <v>3871</v>
      </c>
      <c r="F11" s="2" t="s">
        <v>1660</v>
      </c>
      <c r="G11" s="139"/>
      <c r="H11" s="2" t="s">
        <v>1593</v>
      </c>
      <c r="I11" s="2" t="s">
        <v>159</v>
      </c>
    </row>
    <row r="12" spans="1:9">
      <c r="A12" s="140"/>
      <c r="B12" s="6" t="s">
        <v>2504</v>
      </c>
      <c r="C12" s="2" t="s">
        <v>2442</v>
      </c>
      <c r="D12" s="139"/>
      <c r="E12" s="2" t="s">
        <v>3872</v>
      </c>
      <c r="F12" s="2" t="s">
        <v>1661</v>
      </c>
      <c r="G12" s="139" t="s">
        <v>2311</v>
      </c>
      <c r="H12" s="2" t="s">
        <v>3843</v>
      </c>
      <c r="I12" s="2" t="s">
        <v>3827</v>
      </c>
    </row>
    <row r="13" spans="1:9">
      <c r="A13" s="141" t="s">
        <v>3741</v>
      </c>
      <c r="B13" s="2" t="s">
        <v>3742</v>
      </c>
      <c r="C13" s="2" t="s">
        <v>3745</v>
      </c>
      <c r="D13" s="139" t="s">
        <v>2547</v>
      </c>
      <c r="E13" s="2" t="s">
        <v>3875</v>
      </c>
      <c r="F13" s="2" t="s">
        <v>3878</v>
      </c>
      <c r="G13" s="139"/>
      <c r="H13" s="2" t="s">
        <v>3844</v>
      </c>
      <c r="I13" s="2" t="s">
        <v>1700</v>
      </c>
    </row>
    <row r="14" spans="1:9">
      <c r="A14" s="141"/>
      <c r="B14" s="139" t="s">
        <v>3743</v>
      </c>
      <c r="C14" s="2" t="s">
        <v>2312</v>
      </c>
      <c r="D14" s="139"/>
      <c r="E14" s="139" t="s">
        <v>3876</v>
      </c>
      <c r="F14" s="2" t="s">
        <v>2313</v>
      </c>
      <c r="G14" s="139"/>
      <c r="H14" s="2" t="s">
        <v>3845</v>
      </c>
      <c r="I14" s="2" t="s">
        <v>1657</v>
      </c>
    </row>
    <row r="15" spans="1:9">
      <c r="A15" s="141"/>
      <c r="B15" s="139"/>
      <c r="C15" s="2" t="s">
        <v>2314</v>
      </c>
      <c r="D15" s="139"/>
      <c r="E15" s="139"/>
      <c r="F15" s="2" t="s">
        <v>3940</v>
      </c>
      <c r="G15" s="139"/>
      <c r="H15" s="2" t="s">
        <v>3846</v>
      </c>
      <c r="I15" s="2" t="s">
        <v>1542</v>
      </c>
    </row>
    <row r="16" spans="1:9">
      <c r="A16" s="141"/>
      <c r="B16" s="2" t="s">
        <v>3744</v>
      </c>
      <c r="C16" s="2" t="s">
        <v>1653</v>
      </c>
      <c r="D16" s="139"/>
      <c r="E16" s="2" t="s">
        <v>3877</v>
      </c>
      <c r="F16" s="2" t="s">
        <v>1660</v>
      </c>
      <c r="G16" s="139" t="s">
        <v>2315</v>
      </c>
      <c r="H16" s="2" t="s">
        <v>3848</v>
      </c>
      <c r="I16" s="2" t="s">
        <v>3827</v>
      </c>
    </row>
    <row r="17" spans="1:9">
      <c r="A17" s="141" t="s">
        <v>3746</v>
      </c>
      <c r="B17" s="139" t="s">
        <v>3747</v>
      </c>
      <c r="C17" s="2" t="s">
        <v>2316</v>
      </c>
      <c r="D17" s="139"/>
      <c r="E17" s="139" t="s">
        <v>3767</v>
      </c>
      <c r="F17" s="2" t="s">
        <v>2317</v>
      </c>
      <c r="G17" s="139"/>
      <c r="H17" s="2" t="s">
        <v>3849</v>
      </c>
      <c r="I17" s="2" t="s">
        <v>3842</v>
      </c>
    </row>
    <row r="18" spans="1:9">
      <c r="A18" s="141"/>
      <c r="B18" s="139"/>
      <c r="C18" s="2" t="s">
        <v>3739</v>
      </c>
      <c r="D18" s="139"/>
      <c r="E18" s="139"/>
      <c r="F18" s="2" t="s">
        <v>2926</v>
      </c>
      <c r="G18" s="139"/>
      <c r="H18" s="2" t="s">
        <v>3850</v>
      </c>
      <c r="I18" s="2" t="s">
        <v>1657</v>
      </c>
    </row>
    <row r="19" spans="1:9">
      <c r="A19" s="141" t="s">
        <v>2291</v>
      </c>
      <c r="B19" s="2" t="s">
        <v>3748</v>
      </c>
      <c r="C19" s="2" t="s">
        <v>3749</v>
      </c>
      <c r="D19" s="139"/>
      <c r="E19" s="139"/>
      <c r="F19" s="2" t="s">
        <v>2927</v>
      </c>
      <c r="G19" s="139"/>
      <c r="H19" s="2" t="s">
        <v>3707</v>
      </c>
      <c r="I19" s="2" t="s">
        <v>3782</v>
      </c>
    </row>
    <row r="20" spans="1:9">
      <c r="A20" s="141"/>
      <c r="B20" s="2" t="s">
        <v>2297</v>
      </c>
      <c r="C20" s="2" t="s">
        <v>2318</v>
      </c>
      <c r="D20" s="139"/>
      <c r="E20" s="139"/>
      <c r="F20" s="2" t="s">
        <v>2287</v>
      </c>
      <c r="G20" s="139" t="s">
        <v>3851</v>
      </c>
      <c r="H20" s="2" t="s">
        <v>3852</v>
      </c>
      <c r="I20" s="2" t="s">
        <v>3821</v>
      </c>
    </row>
    <row r="21" spans="1:9">
      <c r="A21" s="139" t="s">
        <v>2319</v>
      </c>
      <c r="B21" s="2" t="s">
        <v>3750</v>
      </c>
      <c r="C21" s="2" t="s">
        <v>3751</v>
      </c>
      <c r="D21" s="139" t="s">
        <v>3879</v>
      </c>
      <c r="E21" s="2" t="s">
        <v>3880</v>
      </c>
      <c r="F21" s="2" t="s">
        <v>3883</v>
      </c>
      <c r="G21" s="139"/>
      <c r="H21" s="2" t="s">
        <v>3853</v>
      </c>
      <c r="I21" s="2" t="s">
        <v>3856</v>
      </c>
    </row>
    <row r="22" spans="1:9">
      <c r="A22" s="139"/>
      <c r="B22" s="2" t="s">
        <v>2503</v>
      </c>
      <c r="C22" s="2" t="s">
        <v>2441</v>
      </c>
      <c r="D22" s="139"/>
      <c r="E22" s="139" t="s">
        <v>3881</v>
      </c>
      <c r="F22" s="2" t="s">
        <v>150</v>
      </c>
      <c r="G22" s="139"/>
      <c r="H22" s="2" t="s">
        <v>3854</v>
      </c>
      <c r="I22" s="2" t="s">
        <v>1658</v>
      </c>
    </row>
    <row r="23" spans="1:9">
      <c r="A23" s="139" t="s">
        <v>2514</v>
      </c>
      <c r="B23" s="2" t="s">
        <v>3752</v>
      </c>
      <c r="C23" s="2" t="s">
        <v>3751</v>
      </c>
      <c r="D23" s="139"/>
      <c r="E23" s="139"/>
      <c r="F23" s="2" t="s">
        <v>3745</v>
      </c>
      <c r="G23" s="139"/>
      <c r="H23" s="2" t="s">
        <v>3855</v>
      </c>
      <c r="I23" s="2" t="s">
        <v>3782</v>
      </c>
    </row>
    <row r="24" spans="1:9">
      <c r="A24" s="139"/>
      <c r="B24" s="2" t="s">
        <v>3753</v>
      </c>
      <c r="C24" s="2" t="s">
        <v>3758</v>
      </c>
      <c r="D24" s="139"/>
      <c r="E24" s="139" t="s">
        <v>3882</v>
      </c>
      <c r="F24" s="2" t="s">
        <v>2320</v>
      </c>
      <c r="G24" s="139" t="s">
        <v>1703</v>
      </c>
      <c r="H24" s="2" t="s">
        <v>3857</v>
      </c>
      <c r="I24" s="2" t="s">
        <v>3821</v>
      </c>
    </row>
    <row r="25" spans="1:9">
      <c r="A25" s="139"/>
      <c r="B25" s="2" t="s">
        <v>3755</v>
      </c>
      <c r="C25" s="2" t="s">
        <v>1544</v>
      </c>
      <c r="D25" s="139"/>
      <c r="E25" s="139"/>
      <c r="F25" s="2" t="s">
        <v>1660</v>
      </c>
      <c r="G25" s="139"/>
      <c r="H25" s="2" t="s">
        <v>3858</v>
      </c>
      <c r="I25" s="2" t="s">
        <v>1702</v>
      </c>
    </row>
    <row r="26" spans="1:9">
      <c r="A26" s="139"/>
      <c r="B26" s="2" t="s">
        <v>3754</v>
      </c>
      <c r="C26" s="2" t="s">
        <v>3759</v>
      </c>
      <c r="D26" s="139"/>
      <c r="E26" s="2" t="s">
        <v>1602</v>
      </c>
      <c r="F26" s="2" t="s">
        <v>1600</v>
      </c>
      <c r="G26" s="139"/>
      <c r="H26" s="2" t="s">
        <v>3859</v>
      </c>
      <c r="I26" s="2" t="s">
        <v>1658</v>
      </c>
    </row>
    <row r="27" spans="1:9">
      <c r="A27" s="139"/>
      <c r="B27" s="2" t="s">
        <v>3756</v>
      </c>
      <c r="C27" s="2" t="s">
        <v>3759</v>
      </c>
      <c r="D27" s="139" t="s">
        <v>3884</v>
      </c>
      <c r="E27" s="2" t="s">
        <v>3885</v>
      </c>
      <c r="F27" s="2" t="s">
        <v>3887</v>
      </c>
      <c r="G27" s="139"/>
      <c r="H27" s="2" t="s">
        <v>3786</v>
      </c>
      <c r="I27" s="2" t="s">
        <v>2318</v>
      </c>
    </row>
    <row r="28" spans="1:9">
      <c r="A28" s="139"/>
      <c r="B28" s="2" t="s">
        <v>3757</v>
      </c>
      <c r="C28" s="2" t="s">
        <v>3759</v>
      </c>
      <c r="D28" s="139"/>
      <c r="E28" s="2" t="s">
        <v>3886</v>
      </c>
      <c r="F28" s="2" t="s">
        <v>3888</v>
      </c>
      <c r="G28" s="139" t="s">
        <v>1705</v>
      </c>
      <c r="H28" s="2" t="s">
        <v>3804</v>
      </c>
      <c r="I28" s="2" t="s">
        <v>3821</v>
      </c>
    </row>
    <row r="29" spans="1:9">
      <c r="A29" s="139"/>
      <c r="B29" s="2" t="s">
        <v>2502</v>
      </c>
      <c r="C29" s="2" t="s">
        <v>2288</v>
      </c>
      <c r="D29" s="139"/>
      <c r="E29" s="139" t="s">
        <v>3814</v>
      </c>
      <c r="F29" s="2" t="s">
        <v>2321</v>
      </c>
      <c r="G29" s="139"/>
      <c r="H29" s="2" t="s">
        <v>3860</v>
      </c>
      <c r="I29" s="2" t="s">
        <v>3862</v>
      </c>
    </row>
    <row r="30" spans="1:9">
      <c r="A30" s="139"/>
      <c r="B30" s="2" t="s">
        <v>2501</v>
      </c>
      <c r="C30" s="2" t="s">
        <v>2440</v>
      </c>
      <c r="D30" s="139"/>
      <c r="E30" s="139"/>
      <c r="F30" s="2" t="s">
        <v>1675</v>
      </c>
      <c r="G30" s="139"/>
      <c r="H30" s="2" t="s">
        <v>3861</v>
      </c>
      <c r="I30" s="2" t="s">
        <v>1658</v>
      </c>
    </row>
    <row r="31" spans="1:9">
      <c r="A31" s="139" t="s">
        <v>3760</v>
      </c>
      <c r="B31" s="2" t="s">
        <v>3761</v>
      </c>
      <c r="C31" s="2" t="s">
        <v>3764</v>
      </c>
      <c r="D31" s="139" t="s">
        <v>1662</v>
      </c>
      <c r="E31" s="2" t="s">
        <v>3889</v>
      </c>
      <c r="F31" s="2" t="s">
        <v>3892</v>
      </c>
      <c r="G31" s="139" t="s">
        <v>3918</v>
      </c>
      <c r="H31" s="139" t="s">
        <v>3747</v>
      </c>
      <c r="I31" s="2" t="s">
        <v>2316</v>
      </c>
    </row>
    <row r="32" spans="1:9">
      <c r="A32" s="139"/>
      <c r="B32" s="2" t="s">
        <v>3762</v>
      </c>
      <c r="C32" s="2" t="s">
        <v>3765</v>
      </c>
      <c r="D32" s="139"/>
      <c r="E32" s="2" t="s">
        <v>3890</v>
      </c>
      <c r="F32" s="2" t="s">
        <v>1608</v>
      </c>
      <c r="G32" s="139"/>
      <c r="H32" s="139"/>
      <c r="I32" s="2" t="s">
        <v>3739</v>
      </c>
    </row>
    <row r="33" spans="1:9">
      <c r="A33" s="139"/>
      <c r="B33" s="2" t="s">
        <v>3763</v>
      </c>
      <c r="C33" s="2" t="s">
        <v>1539</v>
      </c>
      <c r="D33" s="139"/>
      <c r="E33" s="139" t="s">
        <v>3891</v>
      </c>
      <c r="F33" s="2" t="s">
        <v>2317</v>
      </c>
      <c r="G33" s="139"/>
      <c r="H33" s="139" t="s">
        <v>3919</v>
      </c>
      <c r="I33" s="2" t="s">
        <v>2322</v>
      </c>
    </row>
    <row r="34" spans="1:9">
      <c r="A34" s="139" t="s">
        <v>2548</v>
      </c>
      <c r="B34" s="139" t="s">
        <v>2549</v>
      </c>
      <c r="C34" s="2" t="s">
        <v>2323</v>
      </c>
      <c r="D34" s="139"/>
      <c r="E34" s="139"/>
      <c r="F34" s="2" t="s">
        <v>2926</v>
      </c>
      <c r="G34" s="139"/>
      <c r="H34" s="139"/>
      <c r="I34" s="2" t="s">
        <v>1674</v>
      </c>
    </row>
    <row r="35" spans="1:9">
      <c r="A35" s="139"/>
      <c r="B35" s="139"/>
      <c r="C35" s="2" t="s">
        <v>3739</v>
      </c>
      <c r="D35" s="139" t="s">
        <v>1663</v>
      </c>
      <c r="E35" s="139" t="s">
        <v>3893</v>
      </c>
      <c r="F35" s="2" t="s">
        <v>2324</v>
      </c>
      <c r="G35" s="139"/>
      <c r="H35" s="2" t="s">
        <v>3920</v>
      </c>
      <c r="I35" s="2" t="s">
        <v>3765</v>
      </c>
    </row>
    <row r="36" spans="1:9">
      <c r="A36" s="139"/>
      <c r="B36" s="139" t="s">
        <v>2550</v>
      </c>
      <c r="C36" s="2" t="s">
        <v>2317</v>
      </c>
      <c r="D36" s="139"/>
      <c r="E36" s="139"/>
      <c r="F36" s="2" t="s">
        <v>106</v>
      </c>
      <c r="G36" s="139" t="s">
        <v>3921</v>
      </c>
      <c r="H36" s="139" t="s">
        <v>3922</v>
      </c>
      <c r="I36" s="2" t="s">
        <v>2307</v>
      </c>
    </row>
    <row r="37" spans="1:9">
      <c r="A37" s="139"/>
      <c r="B37" s="139"/>
      <c r="C37" s="2" t="s">
        <v>2926</v>
      </c>
      <c r="D37" s="139"/>
      <c r="E37" s="139" t="s">
        <v>1664</v>
      </c>
      <c r="F37" s="2" t="s">
        <v>2313</v>
      </c>
      <c r="G37" s="139"/>
      <c r="H37" s="139"/>
      <c r="I37" s="2" t="s">
        <v>3739</v>
      </c>
    </row>
    <row r="38" spans="1:9">
      <c r="A38" s="139"/>
      <c r="B38" s="139"/>
      <c r="C38" s="2" t="s">
        <v>2321</v>
      </c>
      <c r="D38" s="139"/>
      <c r="E38" s="139"/>
      <c r="F38" s="2" t="s">
        <v>3899</v>
      </c>
      <c r="G38" s="139"/>
      <c r="H38" s="139" t="s">
        <v>3914</v>
      </c>
      <c r="I38" s="2" t="s">
        <v>2325</v>
      </c>
    </row>
    <row r="39" spans="1:9">
      <c r="A39" s="139"/>
      <c r="B39" s="139"/>
      <c r="C39" s="2" t="s">
        <v>2287</v>
      </c>
      <c r="D39" s="139"/>
      <c r="E39" s="2" t="s">
        <v>1665</v>
      </c>
      <c r="F39" s="2" t="s">
        <v>1667</v>
      </c>
      <c r="G39" s="139"/>
      <c r="H39" s="139"/>
      <c r="I39" s="2" t="s">
        <v>2929</v>
      </c>
    </row>
    <row r="40" spans="1:9">
      <c r="A40" s="139"/>
      <c r="B40" s="139" t="s">
        <v>3769</v>
      </c>
      <c r="C40" s="2" t="s">
        <v>2322</v>
      </c>
      <c r="D40" s="139"/>
      <c r="E40" s="2" t="s">
        <v>1666</v>
      </c>
      <c r="F40" s="2" t="s">
        <v>1654</v>
      </c>
      <c r="G40" s="139"/>
      <c r="H40" s="139"/>
      <c r="I40" s="2" t="s">
        <v>3739</v>
      </c>
    </row>
    <row r="41" spans="1:9">
      <c r="A41" s="139"/>
      <c r="B41" s="139"/>
      <c r="C41" s="2" t="s">
        <v>2326</v>
      </c>
      <c r="D41" s="139" t="s">
        <v>3894</v>
      </c>
      <c r="E41" s="139" t="s">
        <v>3895</v>
      </c>
      <c r="F41" s="2" t="s">
        <v>2327</v>
      </c>
      <c r="G41" s="139" t="s">
        <v>3923</v>
      </c>
      <c r="H41" s="2" t="s">
        <v>3774</v>
      </c>
      <c r="I41" s="2" t="s">
        <v>3749</v>
      </c>
    </row>
    <row r="42" spans="1:9">
      <c r="A42" s="139"/>
      <c r="B42" s="139" t="s">
        <v>3768</v>
      </c>
      <c r="C42" s="2" t="s">
        <v>2304</v>
      </c>
      <c r="D42" s="139"/>
      <c r="E42" s="139"/>
      <c r="F42" s="2" t="s">
        <v>3764</v>
      </c>
      <c r="G42" s="139"/>
      <c r="H42" s="2" t="s">
        <v>3924</v>
      </c>
      <c r="I42" s="2" t="s">
        <v>1673</v>
      </c>
    </row>
    <row r="43" spans="1:9">
      <c r="A43" s="139"/>
      <c r="B43" s="139"/>
      <c r="C43" s="2" t="s">
        <v>2328</v>
      </c>
      <c r="D43" s="139"/>
      <c r="E43" s="2" t="s">
        <v>3896</v>
      </c>
      <c r="F43" s="2" t="s">
        <v>3899</v>
      </c>
      <c r="G43" s="139"/>
      <c r="H43" s="2" t="s">
        <v>3925</v>
      </c>
      <c r="I43" s="2" t="s">
        <v>3926</v>
      </c>
    </row>
    <row r="44" spans="1:9">
      <c r="A44" s="139"/>
      <c r="B44" s="2" t="s">
        <v>3770</v>
      </c>
      <c r="C44" s="2" t="s">
        <v>3765</v>
      </c>
      <c r="D44" s="139"/>
      <c r="E44" s="139" t="s">
        <v>3897</v>
      </c>
      <c r="F44" s="2" t="s">
        <v>2325</v>
      </c>
      <c r="G44" s="139" t="s">
        <v>3927</v>
      </c>
      <c r="H44" s="2" t="s">
        <v>3742</v>
      </c>
      <c r="I44" s="2" t="s">
        <v>3745</v>
      </c>
    </row>
    <row r="45" spans="1:9">
      <c r="A45" s="139"/>
      <c r="B45" s="2" t="s">
        <v>3771</v>
      </c>
      <c r="C45" s="2" t="s">
        <v>3772</v>
      </c>
      <c r="D45" s="139"/>
      <c r="E45" s="139"/>
      <c r="F45" s="2" t="s">
        <v>2929</v>
      </c>
      <c r="G45" s="139"/>
      <c r="H45" s="139" t="s">
        <v>3815</v>
      </c>
      <c r="I45" s="2" t="s">
        <v>2329</v>
      </c>
    </row>
    <row r="46" spans="1:9">
      <c r="A46" s="141" t="s">
        <v>3773</v>
      </c>
      <c r="B46" s="2" t="s">
        <v>3774</v>
      </c>
      <c r="C46" s="2" t="s">
        <v>3749</v>
      </c>
      <c r="D46" s="139"/>
      <c r="E46" s="2" t="s">
        <v>3898</v>
      </c>
      <c r="F46" s="2" t="s">
        <v>1660</v>
      </c>
      <c r="G46" s="139"/>
      <c r="H46" s="139"/>
      <c r="I46" s="2" t="s">
        <v>3739</v>
      </c>
    </row>
    <row r="47" spans="1:9">
      <c r="A47" s="141"/>
      <c r="B47" s="139" t="s">
        <v>3775</v>
      </c>
      <c r="C47" s="2" t="s">
        <v>2330</v>
      </c>
      <c r="D47" s="139" t="s">
        <v>1643</v>
      </c>
      <c r="E47" s="139" t="s">
        <v>1668</v>
      </c>
      <c r="F47" s="2" t="s">
        <v>2331</v>
      </c>
      <c r="G47" s="139"/>
      <c r="H47" s="2" t="s">
        <v>3836</v>
      </c>
      <c r="I47" s="2" t="s">
        <v>3789</v>
      </c>
    </row>
    <row r="48" spans="1:9">
      <c r="A48" s="141"/>
      <c r="B48" s="139"/>
      <c r="C48" s="2" t="s">
        <v>1659</v>
      </c>
      <c r="D48" s="139"/>
      <c r="E48" s="139"/>
      <c r="F48" s="2" t="s">
        <v>107</v>
      </c>
      <c r="G48" s="139" t="s">
        <v>3928</v>
      </c>
      <c r="H48" s="139" t="s">
        <v>3929</v>
      </c>
      <c r="I48" s="2" t="s">
        <v>2332</v>
      </c>
    </row>
    <row r="49" spans="1:9">
      <c r="A49" s="141"/>
      <c r="B49" s="139" t="s">
        <v>3777</v>
      </c>
      <c r="C49" s="2" t="s">
        <v>2322</v>
      </c>
      <c r="D49" s="139"/>
      <c r="E49" s="2" t="s">
        <v>3900</v>
      </c>
      <c r="F49" s="2" t="s">
        <v>3899</v>
      </c>
      <c r="G49" s="139"/>
      <c r="H49" s="139"/>
      <c r="I49" s="2" t="s">
        <v>3745</v>
      </c>
    </row>
    <row r="50" spans="1:9">
      <c r="A50" s="141"/>
      <c r="B50" s="139"/>
      <c r="C50" s="2" t="s">
        <v>1674</v>
      </c>
      <c r="D50" s="139"/>
      <c r="E50" s="139" t="s">
        <v>1669</v>
      </c>
      <c r="F50" s="2" t="s">
        <v>2329</v>
      </c>
      <c r="G50" s="139"/>
      <c r="H50" s="139"/>
      <c r="I50" s="2" t="s">
        <v>2305</v>
      </c>
    </row>
    <row r="51" spans="1:9">
      <c r="A51" s="141"/>
      <c r="B51" s="139" t="s">
        <v>3776</v>
      </c>
      <c r="C51" s="2" t="s">
        <v>2333</v>
      </c>
      <c r="D51" s="139"/>
      <c r="E51" s="139"/>
      <c r="F51" s="2" t="s">
        <v>2928</v>
      </c>
      <c r="G51" s="139"/>
      <c r="H51" s="139" t="s">
        <v>3768</v>
      </c>
      <c r="I51" s="2" t="s">
        <v>2304</v>
      </c>
    </row>
    <row r="52" spans="1:9">
      <c r="A52" s="141"/>
      <c r="B52" s="139"/>
      <c r="C52" s="2" t="s">
        <v>2329</v>
      </c>
      <c r="D52" s="139"/>
      <c r="E52" s="2" t="s">
        <v>1670</v>
      </c>
      <c r="F52" s="2" t="s">
        <v>1654</v>
      </c>
      <c r="G52" s="139"/>
      <c r="H52" s="139"/>
      <c r="I52" s="2" t="s">
        <v>1667</v>
      </c>
    </row>
    <row r="53" spans="1:9">
      <c r="A53" s="141"/>
      <c r="B53" s="2" t="s">
        <v>3778</v>
      </c>
      <c r="C53" s="2" t="s">
        <v>2334</v>
      </c>
      <c r="D53" s="2" t="s">
        <v>2520</v>
      </c>
      <c r="E53" s="6" t="s">
        <v>2519</v>
      </c>
      <c r="F53" s="6" t="s">
        <v>2287</v>
      </c>
      <c r="G53" s="139"/>
      <c r="H53" s="2" t="s">
        <v>3930</v>
      </c>
      <c r="I53" s="2" t="s">
        <v>3830</v>
      </c>
    </row>
    <row r="54" spans="1:9">
      <c r="A54" s="141"/>
      <c r="B54" s="2" t="s">
        <v>3779</v>
      </c>
      <c r="C54" s="2" t="s">
        <v>3740</v>
      </c>
      <c r="D54" s="139" t="s">
        <v>3783</v>
      </c>
      <c r="E54" s="2" t="s">
        <v>3780</v>
      </c>
      <c r="F54" s="2" t="s">
        <v>2334</v>
      </c>
      <c r="G54" s="139" t="s">
        <v>3931</v>
      </c>
      <c r="H54" s="139" t="s">
        <v>1671</v>
      </c>
      <c r="I54" s="2" t="s">
        <v>2335</v>
      </c>
    </row>
    <row r="55" spans="1:9">
      <c r="A55" s="140" t="s">
        <v>3912</v>
      </c>
      <c r="B55" s="139" t="s">
        <v>1671</v>
      </c>
      <c r="C55" s="2" t="s">
        <v>2335</v>
      </c>
      <c r="D55" s="139"/>
      <c r="E55" s="2" t="s">
        <v>3781</v>
      </c>
      <c r="F55" s="2" t="s">
        <v>3782</v>
      </c>
      <c r="G55" s="139"/>
      <c r="H55" s="139"/>
      <c r="I55" s="2" t="s">
        <v>117</v>
      </c>
    </row>
    <row r="56" spans="1:9">
      <c r="A56" s="140"/>
      <c r="B56" s="139"/>
      <c r="C56" s="2" t="s">
        <v>117</v>
      </c>
      <c r="D56" s="139" t="s">
        <v>2293</v>
      </c>
      <c r="E56" s="2" t="s">
        <v>3785</v>
      </c>
      <c r="F56" s="2" t="s">
        <v>3789</v>
      </c>
      <c r="G56" s="139"/>
      <c r="H56" s="2" t="s">
        <v>3932</v>
      </c>
      <c r="I56" s="2" t="s">
        <v>1674</v>
      </c>
    </row>
    <row r="57" spans="1:9">
      <c r="A57" s="140"/>
      <c r="B57" s="139" t="s">
        <v>3914</v>
      </c>
      <c r="C57" s="2" t="s">
        <v>2325</v>
      </c>
      <c r="D57" s="139"/>
      <c r="E57" s="2" t="s">
        <v>3786</v>
      </c>
      <c r="F57" s="2" t="s">
        <v>2318</v>
      </c>
      <c r="G57" s="139" t="s">
        <v>3933</v>
      </c>
      <c r="H57" s="2" t="s">
        <v>3934</v>
      </c>
      <c r="I57" s="2" t="s">
        <v>3937</v>
      </c>
    </row>
    <row r="58" spans="1:9">
      <c r="A58" s="140"/>
      <c r="B58" s="139"/>
      <c r="C58" s="2" t="s">
        <v>2929</v>
      </c>
      <c r="D58" s="139" t="s">
        <v>3790</v>
      </c>
      <c r="E58" s="2" t="s">
        <v>3784</v>
      </c>
      <c r="F58" s="2" t="s">
        <v>2318</v>
      </c>
      <c r="G58" s="139"/>
      <c r="H58" s="139" t="s">
        <v>3769</v>
      </c>
      <c r="I58" s="2" t="s">
        <v>2322</v>
      </c>
    </row>
    <row r="59" spans="1:9">
      <c r="A59" s="140"/>
      <c r="B59" s="139"/>
      <c r="C59" s="2" t="s">
        <v>3739</v>
      </c>
      <c r="D59" s="139"/>
      <c r="E59" s="2" t="s">
        <v>3707</v>
      </c>
      <c r="F59" s="2" t="s">
        <v>3782</v>
      </c>
      <c r="G59" s="139"/>
      <c r="H59" s="139"/>
      <c r="I59" s="2" t="s">
        <v>1674</v>
      </c>
    </row>
    <row r="60" spans="1:9">
      <c r="A60" s="140"/>
      <c r="B60" s="2" t="s">
        <v>2336</v>
      </c>
      <c r="C60" s="2" t="s">
        <v>2337</v>
      </c>
      <c r="D60" s="139"/>
      <c r="E60" s="2" t="s">
        <v>3787</v>
      </c>
      <c r="F60" s="2" t="s">
        <v>1542</v>
      </c>
      <c r="G60" s="139"/>
      <c r="H60" s="2" t="s">
        <v>3935</v>
      </c>
      <c r="I60" s="2" t="s">
        <v>3772</v>
      </c>
    </row>
    <row r="61" spans="1:9">
      <c r="A61" s="140"/>
      <c r="B61" s="2" t="s">
        <v>3916</v>
      </c>
      <c r="C61" s="2" t="s">
        <v>1667</v>
      </c>
      <c r="D61" s="139" t="s">
        <v>2535</v>
      </c>
      <c r="E61" s="2" t="s">
        <v>3831</v>
      </c>
      <c r="F61" s="2" t="s">
        <v>3765</v>
      </c>
      <c r="G61" s="139"/>
      <c r="H61" s="2" t="s">
        <v>3936</v>
      </c>
      <c r="I61" s="2" t="s">
        <v>1539</v>
      </c>
    </row>
    <row r="62" spans="1:9">
      <c r="A62" s="140"/>
      <c r="B62" s="139" t="s">
        <v>3915</v>
      </c>
      <c r="C62" s="2" t="s">
        <v>2314</v>
      </c>
      <c r="D62" s="139"/>
      <c r="E62" s="2" t="s">
        <v>2499</v>
      </c>
      <c r="F62" s="2" t="s">
        <v>2289</v>
      </c>
      <c r="G62" s="139" t="s">
        <v>1715</v>
      </c>
      <c r="H62" s="139" t="s">
        <v>3793</v>
      </c>
      <c r="I62" s="2" t="s">
        <v>2338</v>
      </c>
    </row>
    <row r="63" spans="1:9">
      <c r="A63" s="140"/>
      <c r="B63" s="139"/>
      <c r="C63" s="2" t="s">
        <v>1656</v>
      </c>
      <c r="D63" s="139" t="s">
        <v>2339</v>
      </c>
      <c r="E63" s="2" t="s">
        <v>3901</v>
      </c>
      <c r="F63" s="2" t="s">
        <v>3822</v>
      </c>
      <c r="G63" s="139"/>
      <c r="H63" s="139"/>
      <c r="I63" s="2" t="s">
        <v>153</v>
      </c>
    </row>
    <row r="64" spans="1:9">
      <c r="A64" s="140"/>
      <c r="B64" s="2" t="s">
        <v>3871</v>
      </c>
      <c r="C64" s="2" t="s">
        <v>2340</v>
      </c>
      <c r="D64" s="139"/>
      <c r="E64" s="139" t="s">
        <v>3902</v>
      </c>
      <c r="F64" s="2" t="s">
        <v>2341</v>
      </c>
      <c r="G64" s="139"/>
      <c r="H64" s="139"/>
      <c r="I64" s="2" t="s">
        <v>138</v>
      </c>
    </row>
    <row r="65" spans="1:9">
      <c r="A65" s="140"/>
      <c r="B65" s="2" t="s">
        <v>3913</v>
      </c>
      <c r="C65" s="2" t="s">
        <v>1653</v>
      </c>
      <c r="D65" s="139"/>
      <c r="E65" s="139"/>
      <c r="F65" s="2" t="s">
        <v>2931</v>
      </c>
      <c r="G65" s="139"/>
      <c r="H65" s="139"/>
      <c r="I65" s="2" t="s">
        <v>2342</v>
      </c>
    </row>
    <row r="66" spans="1:9">
      <c r="A66" s="140"/>
      <c r="B66" s="2" t="s">
        <v>3792</v>
      </c>
      <c r="C66" s="2" t="s">
        <v>1652</v>
      </c>
      <c r="D66" s="139"/>
      <c r="E66" s="139"/>
      <c r="F66" s="2" t="s">
        <v>3990</v>
      </c>
      <c r="G66" s="139"/>
      <c r="H66" s="139" t="s">
        <v>3795</v>
      </c>
      <c r="I66" s="2" t="s">
        <v>2343</v>
      </c>
    </row>
    <row r="67" spans="1:9">
      <c r="A67" s="140"/>
      <c r="B67" s="2" t="s">
        <v>39</v>
      </c>
      <c r="C67" s="2" t="s">
        <v>3740</v>
      </c>
      <c r="D67" s="139"/>
      <c r="E67" s="2" t="s">
        <v>3903</v>
      </c>
      <c r="F67" s="2" t="s">
        <v>3908</v>
      </c>
      <c r="G67" s="139"/>
      <c r="H67" s="139"/>
      <c r="I67" s="2" t="s">
        <v>104</v>
      </c>
    </row>
    <row r="68" spans="1:9">
      <c r="A68" s="140"/>
      <c r="B68" s="2" t="s">
        <v>3917</v>
      </c>
      <c r="C68" s="2" t="s">
        <v>1541</v>
      </c>
      <c r="D68" s="139"/>
      <c r="E68" s="2" t="s">
        <v>3904</v>
      </c>
      <c r="F68" s="2" t="s">
        <v>131</v>
      </c>
      <c r="G68" s="139"/>
      <c r="H68" s="2" t="s">
        <v>3796</v>
      </c>
      <c r="I68" s="2" t="s">
        <v>3820</v>
      </c>
    </row>
    <row r="69" spans="1:9">
      <c r="A69" s="140"/>
      <c r="B69" s="2" t="s">
        <v>1603</v>
      </c>
      <c r="C69" s="2" t="s">
        <v>1028</v>
      </c>
      <c r="D69" s="139"/>
      <c r="E69" s="2" t="s">
        <v>3905</v>
      </c>
      <c r="F69" s="2" t="s">
        <v>3909</v>
      </c>
      <c r="G69" s="139"/>
      <c r="H69" s="2" t="s">
        <v>3798</v>
      </c>
      <c r="I69" s="2" t="s">
        <v>3822</v>
      </c>
    </row>
    <row r="70" spans="1:9">
      <c r="A70" s="2" t="s">
        <v>2545</v>
      </c>
      <c r="B70" s="2" t="s">
        <v>2497</v>
      </c>
      <c r="C70" s="2" t="s">
        <v>2440</v>
      </c>
      <c r="D70" s="139"/>
      <c r="E70" s="2" t="s">
        <v>3906</v>
      </c>
      <c r="F70" s="2" t="s">
        <v>3847</v>
      </c>
      <c r="G70" s="139"/>
      <c r="H70" s="2" t="s">
        <v>3797</v>
      </c>
      <c r="I70" s="2" t="s">
        <v>3821</v>
      </c>
    </row>
    <row r="71" spans="1:9">
      <c r="A71" s="2" t="s">
        <v>2542</v>
      </c>
      <c r="B71" s="2" t="s">
        <v>3910</v>
      </c>
      <c r="C71" s="2" t="s">
        <v>3911</v>
      </c>
      <c r="D71" s="139"/>
      <c r="E71" s="2" t="s">
        <v>3907</v>
      </c>
      <c r="F71" s="2" t="s">
        <v>3847</v>
      </c>
      <c r="G71" s="139"/>
      <c r="H71" s="2" t="s">
        <v>3804</v>
      </c>
      <c r="I71" s="2" t="s">
        <v>3821</v>
      </c>
    </row>
    <row r="72" spans="1:9">
      <c r="A72" s="139" t="s">
        <v>2530</v>
      </c>
      <c r="B72" s="139" t="s">
        <v>3957</v>
      </c>
      <c r="C72" s="2" t="s">
        <v>2344</v>
      </c>
      <c r="D72" s="139"/>
      <c r="E72" s="139" t="s">
        <v>3864</v>
      </c>
      <c r="F72" s="2" t="s">
        <v>2308</v>
      </c>
      <c r="G72" s="139"/>
      <c r="H72" s="2" t="s">
        <v>3805</v>
      </c>
      <c r="I72" s="2" t="s">
        <v>3827</v>
      </c>
    </row>
    <row r="73" spans="1:9">
      <c r="A73" s="139"/>
      <c r="B73" s="139"/>
      <c r="C73" s="2" t="s">
        <v>3967</v>
      </c>
      <c r="D73" s="139"/>
      <c r="E73" s="139"/>
      <c r="F73" s="2" t="s">
        <v>3888</v>
      </c>
      <c r="G73" s="139"/>
      <c r="H73" s="2" t="s">
        <v>3794</v>
      </c>
      <c r="I73" s="2" t="s">
        <v>3819</v>
      </c>
    </row>
    <row r="74" spans="1:9">
      <c r="A74" s="139"/>
      <c r="B74" s="139"/>
      <c r="C74" s="2" t="s">
        <v>3940</v>
      </c>
      <c r="D74" s="139"/>
      <c r="E74" s="2" t="s">
        <v>3870</v>
      </c>
      <c r="F74" s="2" t="s">
        <v>3873</v>
      </c>
      <c r="G74" s="139"/>
      <c r="H74" s="2" t="s">
        <v>3799</v>
      </c>
      <c r="I74" s="2" t="s">
        <v>3823</v>
      </c>
    </row>
    <row r="75" spans="1:9">
      <c r="A75" s="139"/>
      <c r="B75" s="2" t="s">
        <v>3958</v>
      </c>
      <c r="C75" s="2" t="s">
        <v>3967</v>
      </c>
      <c r="D75" s="139"/>
      <c r="E75" s="2" t="s">
        <v>3886</v>
      </c>
      <c r="F75" s="2" t="s">
        <v>3888</v>
      </c>
      <c r="G75" s="139"/>
      <c r="H75" s="2" t="s">
        <v>3800</v>
      </c>
      <c r="I75" s="2" t="s">
        <v>3824</v>
      </c>
    </row>
    <row r="76" spans="1:9">
      <c r="A76" s="139"/>
      <c r="B76" s="2" t="s">
        <v>3959</v>
      </c>
      <c r="C76" s="2" t="s">
        <v>3911</v>
      </c>
      <c r="D76" s="139"/>
      <c r="E76" s="139" t="s">
        <v>3891</v>
      </c>
      <c r="F76" s="2" t="s">
        <v>2317</v>
      </c>
      <c r="G76" s="139"/>
      <c r="H76" s="2" t="s">
        <v>3801</v>
      </c>
      <c r="I76" s="2" t="s">
        <v>3825</v>
      </c>
    </row>
    <row r="77" spans="1:9">
      <c r="A77" s="139"/>
      <c r="B77" s="2" t="s">
        <v>3960</v>
      </c>
      <c r="C77" s="2" t="s">
        <v>3968</v>
      </c>
      <c r="D77" s="139"/>
      <c r="E77" s="139"/>
      <c r="F77" s="2" t="s">
        <v>2926</v>
      </c>
      <c r="G77" s="139"/>
      <c r="H77" s="2" t="s">
        <v>3802</v>
      </c>
      <c r="I77" s="2" t="s">
        <v>3826</v>
      </c>
    </row>
    <row r="78" spans="1:9">
      <c r="A78" s="139"/>
      <c r="B78" s="139" t="s">
        <v>3961</v>
      </c>
      <c r="C78" s="2" t="s">
        <v>2317</v>
      </c>
      <c r="D78" s="139"/>
      <c r="E78" s="2" t="s">
        <v>3835</v>
      </c>
      <c r="F78" s="2" t="s">
        <v>1656</v>
      </c>
      <c r="G78" s="139"/>
      <c r="H78" s="139" t="s">
        <v>3803</v>
      </c>
      <c r="I78" s="2" t="s">
        <v>2324</v>
      </c>
    </row>
    <row r="79" spans="1:9">
      <c r="A79" s="139"/>
      <c r="B79" s="139"/>
      <c r="C79" s="2" t="s">
        <v>2926</v>
      </c>
      <c r="D79" s="139"/>
      <c r="E79" s="2" t="s">
        <v>3859</v>
      </c>
      <c r="F79" s="2" t="s">
        <v>1658</v>
      </c>
      <c r="G79" s="139"/>
      <c r="H79" s="139"/>
      <c r="I79" s="2" t="s">
        <v>106</v>
      </c>
    </row>
    <row r="80" spans="1:9">
      <c r="A80" s="139"/>
      <c r="B80" s="139"/>
      <c r="C80" s="2" t="s">
        <v>2927</v>
      </c>
      <c r="D80" s="139" t="s">
        <v>3938</v>
      </c>
      <c r="E80" s="139" t="s">
        <v>3929</v>
      </c>
      <c r="F80" s="2" t="s">
        <v>2332</v>
      </c>
      <c r="G80" s="139"/>
      <c r="H80" s="139" t="s">
        <v>3806</v>
      </c>
      <c r="I80" s="2" t="s">
        <v>2345</v>
      </c>
    </row>
    <row r="81" spans="1:9">
      <c r="A81" s="139"/>
      <c r="B81" s="2" t="s">
        <v>3962</v>
      </c>
      <c r="C81" s="2" t="s">
        <v>1675</v>
      </c>
      <c r="D81" s="139"/>
      <c r="E81" s="139"/>
      <c r="F81" s="2" t="s">
        <v>3745</v>
      </c>
      <c r="G81" s="139"/>
      <c r="H81" s="139"/>
      <c r="I81" s="2" t="s">
        <v>3899</v>
      </c>
    </row>
    <row r="82" spans="1:9">
      <c r="A82" s="139"/>
      <c r="B82" s="2" t="s">
        <v>3963</v>
      </c>
      <c r="C82" s="2" t="s">
        <v>1655</v>
      </c>
      <c r="D82" s="139"/>
      <c r="E82" s="139"/>
      <c r="F82" s="2" t="s">
        <v>2305</v>
      </c>
      <c r="G82" s="139"/>
      <c r="H82" s="2" t="s">
        <v>3807</v>
      </c>
      <c r="I82" s="2" t="s">
        <v>3828</v>
      </c>
    </row>
    <row r="83" spans="1:9">
      <c r="A83" s="139"/>
      <c r="B83" s="2" t="s">
        <v>3964</v>
      </c>
      <c r="C83" s="2" t="s">
        <v>1651</v>
      </c>
      <c r="D83" s="139" t="s">
        <v>2527</v>
      </c>
      <c r="E83" s="2" t="s">
        <v>3953</v>
      </c>
      <c r="F83" s="2" t="s">
        <v>3782</v>
      </c>
      <c r="G83" s="139"/>
      <c r="H83" s="139" t="s">
        <v>3808</v>
      </c>
      <c r="I83" s="2" t="s">
        <v>152</v>
      </c>
    </row>
    <row r="84" spans="1:9">
      <c r="A84" s="139"/>
      <c r="B84" s="2" t="s">
        <v>3965</v>
      </c>
      <c r="C84" s="2" t="s">
        <v>3740</v>
      </c>
      <c r="D84" s="139"/>
      <c r="E84" s="2" t="s">
        <v>3954</v>
      </c>
      <c r="F84" s="2" t="s">
        <v>1543</v>
      </c>
      <c r="G84" s="139"/>
      <c r="H84" s="139"/>
      <c r="I84" s="2" t="s">
        <v>116</v>
      </c>
    </row>
    <row r="85" spans="1:9">
      <c r="A85" s="139"/>
      <c r="B85" s="2" t="s">
        <v>3966</v>
      </c>
      <c r="C85" s="2" t="s">
        <v>1543</v>
      </c>
      <c r="D85" s="139"/>
      <c r="E85" s="2" t="s">
        <v>1596</v>
      </c>
      <c r="F85" s="2" t="s">
        <v>1595</v>
      </c>
      <c r="G85" s="139"/>
      <c r="H85" s="2" t="s">
        <v>3809</v>
      </c>
      <c r="I85" s="2" t="s">
        <v>3829</v>
      </c>
    </row>
    <row r="86" spans="1:9">
      <c r="A86" s="139"/>
      <c r="B86" s="2" t="s">
        <v>1591</v>
      </c>
      <c r="C86" s="2" t="s">
        <v>184</v>
      </c>
      <c r="D86" s="139"/>
      <c r="E86" s="2" t="s">
        <v>2528</v>
      </c>
      <c r="F86" s="2" t="s">
        <v>2288</v>
      </c>
      <c r="G86" s="139"/>
      <c r="H86" s="139" t="s">
        <v>3810</v>
      </c>
      <c r="I86" s="2" t="s">
        <v>2346</v>
      </c>
    </row>
    <row r="87" spans="1:9">
      <c r="A87" s="139"/>
      <c r="B87" s="2" t="s">
        <v>2529</v>
      </c>
      <c r="C87" s="2" t="s">
        <v>2436</v>
      </c>
      <c r="D87" s="139" t="s">
        <v>2347</v>
      </c>
      <c r="E87" s="2" t="s">
        <v>3855</v>
      </c>
      <c r="F87" s="2" t="s">
        <v>3782</v>
      </c>
      <c r="G87" s="139"/>
      <c r="H87" s="139"/>
      <c r="I87" s="2" t="s">
        <v>2930</v>
      </c>
    </row>
    <row r="88" spans="1:9">
      <c r="A88" s="139" t="s">
        <v>3791</v>
      </c>
      <c r="B88" s="2" t="s">
        <v>3792</v>
      </c>
      <c r="C88" s="2" t="s">
        <v>1652</v>
      </c>
      <c r="D88" s="139"/>
      <c r="E88" s="2" t="s">
        <v>2557</v>
      </c>
      <c r="F88" s="2" t="s">
        <v>2289</v>
      </c>
      <c r="G88" s="139"/>
      <c r="H88" s="139"/>
      <c r="I88" s="2" t="s">
        <v>115</v>
      </c>
    </row>
    <row r="89" spans="1:9">
      <c r="A89" s="139"/>
      <c r="B89" s="2" t="s">
        <v>1679</v>
      </c>
      <c r="C89" s="2" t="s">
        <v>1680</v>
      </c>
      <c r="D89" s="139"/>
      <c r="E89" s="2" t="s">
        <v>2496</v>
      </c>
      <c r="F89" s="2" t="s">
        <v>2442</v>
      </c>
      <c r="G89" s="139"/>
      <c r="H89" s="139"/>
      <c r="I89" s="2" t="s">
        <v>3739</v>
      </c>
    </row>
    <row r="90" spans="1:9">
      <c r="A90" s="139" t="s">
        <v>3945</v>
      </c>
      <c r="B90" s="2" t="s">
        <v>3946</v>
      </c>
      <c r="C90" s="2" t="s">
        <v>3740</v>
      </c>
      <c r="D90" s="2" t="s">
        <v>2546</v>
      </c>
      <c r="E90" s="2" t="s">
        <v>3955</v>
      </c>
      <c r="F90" s="2" t="s">
        <v>2334</v>
      </c>
      <c r="G90" s="139"/>
      <c r="H90" s="139" t="s">
        <v>3811</v>
      </c>
      <c r="I90" s="2" t="s">
        <v>151</v>
      </c>
    </row>
    <row r="91" spans="1:9">
      <c r="A91" s="139"/>
      <c r="B91" s="6" t="s">
        <v>1601</v>
      </c>
      <c r="C91" s="6" t="s">
        <v>1600</v>
      </c>
      <c r="D91" s="139" t="s">
        <v>2516</v>
      </c>
      <c r="E91" s="2" t="s">
        <v>3947</v>
      </c>
      <c r="F91" s="2" t="s">
        <v>3758</v>
      </c>
      <c r="G91" s="139"/>
      <c r="H91" s="139"/>
      <c r="I91" s="2" t="s">
        <v>115</v>
      </c>
    </row>
    <row r="92" spans="1:9">
      <c r="A92" s="139" t="s">
        <v>3941</v>
      </c>
      <c r="B92" s="2" t="s">
        <v>3942</v>
      </c>
      <c r="C92" s="2" t="s">
        <v>1652</v>
      </c>
      <c r="D92" s="139"/>
      <c r="E92" s="2" t="s">
        <v>3948</v>
      </c>
      <c r="F92" s="2" t="s">
        <v>1544</v>
      </c>
      <c r="G92" s="139"/>
      <c r="H92" s="139" t="s">
        <v>3814</v>
      </c>
      <c r="I92" s="2" t="s">
        <v>2321</v>
      </c>
    </row>
    <row r="93" spans="1:9">
      <c r="A93" s="139"/>
      <c r="B93" s="2" t="s">
        <v>3943</v>
      </c>
      <c r="C93" s="2" t="s">
        <v>3740</v>
      </c>
      <c r="D93" s="139"/>
      <c r="E93" s="2" t="s">
        <v>1685</v>
      </c>
      <c r="F93" s="2" t="s">
        <v>1595</v>
      </c>
      <c r="G93" s="139"/>
      <c r="H93" s="139"/>
      <c r="I93" s="2" t="s">
        <v>1675</v>
      </c>
    </row>
    <row r="94" spans="1:9">
      <c r="A94" s="139"/>
      <c r="B94" s="2" t="s">
        <v>3944</v>
      </c>
      <c r="C94" s="2" t="s">
        <v>1543</v>
      </c>
      <c r="D94" s="139"/>
      <c r="E94" s="2" t="s">
        <v>2498</v>
      </c>
      <c r="F94" s="2" t="s">
        <v>2287</v>
      </c>
      <c r="G94" s="139"/>
      <c r="H94" s="139" t="s">
        <v>3815</v>
      </c>
      <c r="I94" s="2" t="s">
        <v>2329</v>
      </c>
    </row>
    <row r="95" spans="1:9">
      <c r="A95" s="139"/>
      <c r="B95" s="6" t="s">
        <v>1599</v>
      </c>
      <c r="C95" s="6" t="s">
        <v>1598</v>
      </c>
      <c r="D95" s="139" t="s">
        <v>2518</v>
      </c>
      <c r="E95" s="2" t="s">
        <v>3949</v>
      </c>
      <c r="F95" s="2" t="s">
        <v>3758</v>
      </c>
      <c r="G95" s="139"/>
      <c r="H95" s="139"/>
      <c r="I95" s="2" t="s">
        <v>3739</v>
      </c>
    </row>
    <row r="96" spans="1:9">
      <c r="A96" s="140" t="s">
        <v>2538</v>
      </c>
      <c r="B96" s="2" t="s">
        <v>3946</v>
      </c>
      <c r="C96" s="2" t="s">
        <v>3740</v>
      </c>
      <c r="D96" s="139"/>
      <c r="E96" s="2" t="s">
        <v>3950</v>
      </c>
      <c r="F96" s="2" t="s">
        <v>1544</v>
      </c>
      <c r="G96" s="139"/>
      <c r="H96" s="2" t="s">
        <v>3817</v>
      </c>
      <c r="I96" s="2" t="s">
        <v>1655</v>
      </c>
    </row>
    <row r="97" spans="1:9">
      <c r="A97" s="140"/>
      <c r="B97" s="2" t="s">
        <v>1597</v>
      </c>
      <c r="C97" s="2" t="s">
        <v>1598</v>
      </c>
      <c r="D97" s="139"/>
      <c r="E97" s="2" t="s">
        <v>1682</v>
      </c>
      <c r="F97" s="2" t="s">
        <v>229</v>
      </c>
      <c r="G97" s="139"/>
      <c r="H97" s="139" t="s">
        <v>3816</v>
      </c>
      <c r="I97" s="2" t="s">
        <v>2312</v>
      </c>
    </row>
    <row r="98" spans="1:9">
      <c r="A98" s="140"/>
      <c r="B98" s="2" t="s">
        <v>2537</v>
      </c>
      <c r="C98" s="2" t="s">
        <v>2442</v>
      </c>
      <c r="D98" s="139"/>
      <c r="E98" s="6" t="s">
        <v>2505</v>
      </c>
      <c r="F98" s="6" t="s">
        <v>2289</v>
      </c>
      <c r="G98" s="139"/>
      <c r="H98" s="139"/>
      <c r="I98" s="2" t="s">
        <v>2925</v>
      </c>
    </row>
    <row r="99" spans="1:9">
      <c r="A99" s="140"/>
      <c r="B99" s="2" t="s">
        <v>2506</v>
      </c>
      <c r="C99" s="2" t="s">
        <v>2577</v>
      </c>
      <c r="D99" s="139" t="s">
        <v>2561</v>
      </c>
      <c r="E99" s="2" t="s">
        <v>3951</v>
      </c>
      <c r="F99" s="2" t="s">
        <v>3788</v>
      </c>
      <c r="G99" s="139"/>
      <c r="H99" s="139" t="s">
        <v>3812</v>
      </c>
      <c r="I99" s="2" t="s">
        <v>1654</v>
      </c>
    </row>
    <row r="100" spans="1:9">
      <c r="A100" s="140" t="s">
        <v>2553</v>
      </c>
      <c r="B100" s="2" t="s">
        <v>3970</v>
      </c>
      <c r="C100" s="2" t="s">
        <v>3740</v>
      </c>
      <c r="D100" s="139"/>
      <c r="E100" s="2" t="s">
        <v>3952</v>
      </c>
      <c r="F100" s="2" t="s">
        <v>1542</v>
      </c>
      <c r="G100" s="139"/>
      <c r="H100" s="139"/>
      <c r="I100" s="2" t="s">
        <v>2439</v>
      </c>
    </row>
    <row r="101" spans="1:9">
      <c r="A101" s="140"/>
      <c r="B101" s="2" t="s">
        <v>3971</v>
      </c>
      <c r="C101" s="2" t="s">
        <v>1541</v>
      </c>
      <c r="D101" s="139"/>
      <c r="E101" s="2" t="s">
        <v>1681</v>
      </c>
      <c r="F101" s="2" t="s">
        <v>184</v>
      </c>
      <c r="G101" s="139"/>
      <c r="H101" s="2" t="s">
        <v>3813</v>
      </c>
      <c r="I101" s="2" t="s">
        <v>1653</v>
      </c>
    </row>
    <row r="102" spans="1:9">
      <c r="A102" s="140"/>
      <c r="B102" s="6" t="s">
        <v>1677</v>
      </c>
      <c r="C102" s="6" t="s">
        <v>1678</v>
      </c>
      <c r="D102" s="139"/>
      <c r="E102" s="2" t="s">
        <v>2560</v>
      </c>
      <c r="F102" s="2" t="s">
        <v>2437</v>
      </c>
      <c r="G102" s="139"/>
      <c r="H102" s="2" t="s">
        <v>3818</v>
      </c>
      <c r="I102" s="2" t="s">
        <v>3830</v>
      </c>
    </row>
    <row r="103" spans="1:9">
      <c r="A103" s="140"/>
      <c r="B103" s="6" t="s">
        <v>2513</v>
      </c>
      <c r="C103" s="6" t="s">
        <v>2441</v>
      </c>
      <c r="D103" s="2" t="s">
        <v>2495</v>
      </c>
      <c r="E103" s="2" t="s">
        <v>2494</v>
      </c>
      <c r="F103" s="2" t="s">
        <v>2437</v>
      </c>
      <c r="G103" s="139"/>
      <c r="H103" s="2" t="s">
        <v>1684</v>
      </c>
      <c r="I103" s="2" t="s">
        <v>128</v>
      </c>
    </row>
  </sheetData>
  <mergeCells count="107">
    <mergeCell ref="D9:D12"/>
    <mergeCell ref="H9:H10"/>
    <mergeCell ref="B10:B11"/>
    <mergeCell ref="G12:G15"/>
    <mergeCell ref="A100:A103"/>
    <mergeCell ref="A1:I1"/>
    <mergeCell ref="A3:A12"/>
    <mergeCell ref="B3:B4"/>
    <mergeCell ref="D3:D8"/>
    <mergeCell ref="G3:G6"/>
    <mergeCell ref="E4:E5"/>
    <mergeCell ref="E7:E8"/>
    <mergeCell ref="G7:G11"/>
    <mergeCell ref="A13:A16"/>
    <mergeCell ref="G24:G27"/>
    <mergeCell ref="D27:D30"/>
    <mergeCell ref="G28:G30"/>
    <mergeCell ref="E29:E30"/>
    <mergeCell ref="G16:G19"/>
    <mergeCell ref="A31:A33"/>
    <mergeCell ref="D31:D34"/>
    <mergeCell ref="G31:G35"/>
    <mergeCell ref="E33:E34"/>
    <mergeCell ref="A34:A45"/>
    <mergeCell ref="A17:A18"/>
    <mergeCell ref="B17:B18"/>
    <mergeCell ref="E17:E20"/>
    <mergeCell ref="A19:A20"/>
    <mergeCell ref="G20:G23"/>
    <mergeCell ref="A21:A22"/>
    <mergeCell ref="D21:D26"/>
    <mergeCell ref="E22:E23"/>
    <mergeCell ref="A23:A30"/>
    <mergeCell ref="E24:E25"/>
    <mergeCell ref="D13:D20"/>
    <mergeCell ref="B14:B15"/>
    <mergeCell ref="E14:E15"/>
    <mergeCell ref="H31:H32"/>
    <mergeCell ref="H33:H34"/>
    <mergeCell ref="G36:G40"/>
    <mergeCell ref="H36:H37"/>
    <mergeCell ref="H38:H40"/>
    <mergeCell ref="G41:G43"/>
    <mergeCell ref="B34:B35"/>
    <mergeCell ref="D35:D40"/>
    <mergeCell ref="E35:E36"/>
    <mergeCell ref="B36:B39"/>
    <mergeCell ref="E37:E38"/>
    <mergeCell ref="B40:B41"/>
    <mergeCell ref="D41:D46"/>
    <mergeCell ref="E41:E42"/>
    <mergeCell ref="B42:B43"/>
    <mergeCell ref="E44:E45"/>
    <mergeCell ref="G44:G47"/>
    <mergeCell ref="H45:H46"/>
    <mergeCell ref="A46:A54"/>
    <mergeCell ref="B47:B48"/>
    <mergeCell ref="D47:D52"/>
    <mergeCell ref="E47:E48"/>
    <mergeCell ref="G48:G53"/>
    <mergeCell ref="H48:H50"/>
    <mergeCell ref="B49:B50"/>
    <mergeCell ref="E50:E51"/>
    <mergeCell ref="B51:B52"/>
    <mergeCell ref="H51:H52"/>
    <mergeCell ref="D54:D55"/>
    <mergeCell ref="G54:G56"/>
    <mergeCell ref="H54:H55"/>
    <mergeCell ref="B55:B56"/>
    <mergeCell ref="D56:D57"/>
    <mergeCell ref="B57:B59"/>
    <mergeCell ref="G57:G61"/>
    <mergeCell ref="H58:H59"/>
    <mergeCell ref="E72:E73"/>
    <mergeCell ref="E76:E77"/>
    <mergeCell ref="B78:B80"/>
    <mergeCell ref="D80:D82"/>
    <mergeCell ref="A90:A91"/>
    <mergeCell ref="H90:H91"/>
    <mergeCell ref="D91:D94"/>
    <mergeCell ref="A92:A95"/>
    <mergeCell ref="H92:H93"/>
    <mergeCell ref="H94:H95"/>
    <mergeCell ref="D87:D89"/>
    <mergeCell ref="A88:A89"/>
    <mergeCell ref="G62:G103"/>
    <mergeCell ref="H62:H65"/>
    <mergeCell ref="D63:D79"/>
    <mergeCell ref="E64:E66"/>
    <mergeCell ref="A55:A69"/>
    <mergeCell ref="D58:D60"/>
    <mergeCell ref="H78:H79"/>
    <mergeCell ref="H80:H81"/>
    <mergeCell ref="H83:H84"/>
    <mergeCell ref="H86:H89"/>
    <mergeCell ref="A72:A87"/>
    <mergeCell ref="B72:B74"/>
    <mergeCell ref="D61:D62"/>
    <mergeCell ref="B62:B63"/>
    <mergeCell ref="H66:H67"/>
    <mergeCell ref="H99:H100"/>
    <mergeCell ref="E80:E82"/>
    <mergeCell ref="D83:D86"/>
    <mergeCell ref="D95:D98"/>
    <mergeCell ref="A96:A99"/>
    <mergeCell ref="H97:H98"/>
    <mergeCell ref="D99:D102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79"/>
  <sheetViews>
    <sheetView workbookViewId="0">
      <pane ySplit="2" topLeftCell="A3" activePane="bottomLeft" state="frozen"/>
      <selection pane="bottomLeft" activeCell="F56" sqref="F56"/>
    </sheetView>
  </sheetViews>
  <sheetFormatPr defaultRowHeight="14.25"/>
  <cols>
    <col min="1" max="2" width="10.625" style="16" customWidth="1"/>
    <col min="3" max="3" width="11.625" style="16" customWidth="1"/>
    <col min="4" max="5" width="10.625" style="16" customWidth="1"/>
    <col min="6" max="6" width="11.625" style="16" customWidth="1"/>
    <col min="7" max="8" width="10.625" style="16" customWidth="1"/>
    <col min="9" max="9" width="11.625" style="16" customWidth="1"/>
    <col min="10" max="16384" width="9" style="16"/>
  </cols>
  <sheetData>
    <row r="1" spans="1:9" ht="33">
      <c r="A1" s="146" t="s">
        <v>591</v>
      </c>
      <c r="B1" s="146"/>
      <c r="C1" s="146"/>
      <c r="D1" s="146"/>
      <c r="E1" s="146"/>
      <c r="F1" s="146"/>
      <c r="G1" s="146"/>
      <c r="H1" s="146"/>
      <c r="I1" s="146"/>
    </row>
    <row r="2" spans="1:9" ht="28.5">
      <c r="A2" s="12" t="s">
        <v>3972</v>
      </c>
      <c r="B2" s="12" t="s">
        <v>3731</v>
      </c>
      <c r="C2" s="12" t="s">
        <v>1035</v>
      </c>
      <c r="D2" s="12" t="s">
        <v>3972</v>
      </c>
      <c r="E2" s="12" t="s">
        <v>3731</v>
      </c>
      <c r="F2" s="12" t="s">
        <v>3732</v>
      </c>
      <c r="G2" s="12" t="s">
        <v>3972</v>
      </c>
      <c r="H2" s="12" t="s">
        <v>3731</v>
      </c>
      <c r="I2" s="12" t="s">
        <v>3732</v>
      </c>
    </row>
    <row r="3" spans="1:9">
      <c r="A3" s="149" t="s">
        <v>1798</v>
      </c>
      <c r="B3" s="12"/>
      <c r="C3" s="12"/>
      <c r="D3" s="143" t="s">
        <v>2517</v>
      </c>
      <c r="E3" s="2" t="s">
        <v>3748</v>
      </c>
      <c r="F3" s="2" t="s">
        <v>3749</v>
      </c>
      <c r="G3" s="139" t="s">
        <v>4020</v>
      </c>
      <c r="H3" s="2" t="s">
        <v>4021</v>
      </c>
      <c r="I3" s="2" t="s">
        <v>4026</v>
      </c>
    </row>
    <row r="4" spans="1:9">
      <c r="A4" s="150"/>
      <c r="B4" s="12"/>
      <c r="C4" s="12"/>
      <c r="D4" s="145"/>
      <c r="E4" s="143" t="s">
        <v>3776</v>
      </c>
      <c r="F4" s="2" t="s">
        <v>2333</v>
      </c>
      <c r="G4" s="139"/>
      <c r="H4" s="2" t="s">
        <v>4022</v>
      </c>
      <c r="I4" s="2" t="s">
        <v>4026</v>
      </c>
    </row>
    <row r="5" spans="1:9">
      <c r="A5" s="150"/>
      <c r="B5" s="2"/>
      <c r="C5" s="2"/>
      <c r="D5" s="145"/>
      <c r="E5" s="144"/>
      <c r="F5" s="2" t="s">
        <v>1676</v>
      </c>
      <c r="G5" s="139"/>
      <c r="H5" s="2" t="s">
        <v>3839</v>
      </c>
      <c r="I5" s="2" t="s">
        <v>3821</v>
      </c>
    </row>
    <row r="6" spans="1:9">
      <c r="A6" s="151"/>
      <c r="B6" s="2"/>
      <c r="C6" s="2"/>
      <c r="D6" s="145"/>
      <c r="E6" s="2" t="s">
        <v>3949</v>
      </c>
      <c r="F6" s="2" t="s">
        <v>3758</v>
      </c>
      <c r="G6" s="139"/>
      <c r="H6" s="2" t="s">
        <v>3857</v>
      </c>
      <c r="I6" s="2" t="s">
        <v>3821</v>
      </c>
    </row>
    <row r="7" spans="1:9">
      <c r="A7" s="149" t="s">
        <v>1797</v>
      </c>
      <c r="B7" s="2"/>
      <c r="C7" s="2"/>
      <c r="D7" s="145"/>
      <c r="E7" s="2" t="s">
        <v>2302</v>
      </c>
      <c r="F7" s="2" t="s">
        <v>2301</v>
      </c>
      <c r="G7" s="139"/>
      <c r="H7" s="139" t="s">
        <v>3929</v>
      </c>
      <c r="I7" s="2" t="s">
        <v>2332</v>
      </c>
    </row>
    <row r="8" spans="1:9">
      <c r="A8" s="150"/>
      <c r="B8" s="2"/>
      <c r="C8" s="2"/>
      <c r="D8" s="145"/>
      <c r="E8" s="2" t="s">
        <v>18</v>
      </c>
      <c r="F8" s="2" t="s">
        <v>1647</v>
      </c>
      <c r="G8" s="139"/>
      <c r="H8" s="139"/>
      <c r="I8" s="2" t="s">
        <v>3745</v>
      </c>
    </row>
    <row r="9" spans="1:9">
      <c r="A9" s="150"/>
      <c r="B9" s="2"/>
      <c r="C9" s="2"/>
      <c r="D9" s="145"/>
      <c r="E9" s="2" t="s">
        <v>3755</v>
      </c>
      <c r="F9" s="2" t="s">
        <v>1544</v>
      </c>
      <c r="G9" s="139"/>
      <c r="H9" s="139"/>
      <c r="I9" s="2" t="s">
        <v>2305</v>
      </c>
    </row>
    <row r="10" spans="1:9">
      <c r="A10" s="151"/>
      <c r="B10" s="2"/>
      <c r="C10" s="2"/>
      <c r="D10" s="145"/>
      <c r="E10" s="2" t="s">
        <v>3950</v>
      </c>
      <c r="F10" s="2" t="s">
        <v>1544</v>
      </c>
      <c r="G10" s="139"/>
      <c r="H10" s="2" t="s">
        <v>3934</v>
      </c>
      <c r="I10" s="2" t="s">
        <v>3937</v>
      </c>
    </row>
    <row r="11" spans="1:9">
      <c r="A11" s="147" t="s">
        <v>2554</v>
      </c>
      <c r="B11" s="2" t="s">
        <v>2555</v>
      </c>
      <c r="C11" s="2" t="s">
        <v>2442</v>
      </c>
      <c r="D11" s="144"/>
      <c r="E11" s="2" t="s">
        <v>2505</v>
      </c>
      <c r="F11" s="2" t="s">
        <v>2289</v>
      </c>
      <c r="G11" s="139"/>
      <c r="H11" s="2" t="s">
        <v>4023</v>
      </c>
      <c r="I11" s="2" t="s">
        <v>3926</v>
      </c>
    </row>
    <row r="12" spans="1:9">
      <c r="A12" s="148"/>
      <c r="B12" s="2"/>
      <c r="C12" s="2"/>
      <c r="D12" s="143" t="s">
        <v>13</v>
      </c>
      <c r="E12" s="2" t="s">
        <v>14</v>
      </c>
      <c r="F12" s="2" t="s">
        <v>4048</v>
      </c>
      <c r="G12" s="139"/>
      <c r="H12" s="2" t="s">
        <v>4024</v>
      </c>
      <c r="I12" s="2" t="s">
        <v>1647</v>
      </c>
    </row>
    <row r="13" spans="1:9">
      <c r="A13" s="139" t="s">
        <v>2552</v>
      </c>
      <c r="B13" s="2" t="s">
        <v>3970</v>
      </c>
      <c r="C13" s="2" t="s">
        <v>3740</v>
      </c>
      <c r="D13" s="145"/>
      <c r="E13" s="2" t="s">
        <v>2299</v>
      </c>
      <c r="F13" s="2" t="s">
        <v>2300</v>
      </c>
      <c r="G13" s="139"/>
      <c r="H13" s="2" t="s">
        <v>4025</v>
      </c>
      <c r="I13" s="2" t="s">
        <v>1538</v>
      </c>
    </row>
    <row r="14" spans="1:9">
      <c r="A14" s="139"/>
      <c r="B14" s="2" t="s">
        <v>3971</v>
      </c>
      <c r="C14" s="2" t="s">
        <v>1541</v>
      </c>
      <c r="D14" s="145"/>
      <c r="E14" s="2" t="s">
        <v>15</v>
      </c>
      <c r="F14" s="2" t="s">
        <v>3764</v>
      </c>
      <c r="G14" s="139"/>
      <c r="H14" s="2" t="s">
        <v>1683</v>
      </c>
      <c r="I14" s="2" t="s">
        <v>229</v>
      </c>
    </row>
    <row r="15" spans="1:9">
      <c r="A15" s="139"/>
      <c r="B15" s="2" t="s">
        <v>1677</v>
      </c>
      <c r="C15" s="2" t="s">
        <v>1678</v>
      </c>
      <c r="D15" s="145"/>
      <c r="E15" s="143" t="s">
        <v>3777</v>
      </c>
      <c r="F15" s="2" t="s">
        <v>2322</v>
      </c>
      <c r="G15" s="143" t="s">
        <v>4012</v>
      </c>
      <c r="H15" s="2" t="s">
        <v>4013</v>
      </c>
      <c r="I15" s="2" t="s">
        <v>3823</v>
      </c>
    </row>
    <row r="16" spans="1:9">
      <c r="A16" s="139"/>
      <c r="B16" s="2" t="s">
        <v>2513</v>
      </c>
      <c r="C16" s="2" t="s">
        <v>2441</v>
      </c>
      <c r="D16" s="145"/>
      <c r="E16" s="144"/>
      <c r="F16" s="2" t="s">
        <v>1674</v>
      </c>
      <c r="G16" s="152"/>
      <c r="H16" s="2" t="s">
        <v>4014</v>
      </c>
      <c r="I16" s="2" t="s">
        <v>3823</v>
      </c>
    </row>
    <row r="17" spans="1:9">
      <c r="A17" s="143" t="s">
        <v>2523</v>
      </c>
      <c r="B17" s="2" t="s">
        <v>3737</v>
      </c>
      <c r="C17" s="2" t="s">
        <v>3740</v>
      </c>
      <c r="D17" s="145"/>
      <c r="E17" s="2" t="s">
        <v>3947</v>
      </c>
      <c r="F17" s="2" t="s">
        <v>3758</v>
      </c>
      <c r="G17" s="152"/>
      <c r="H17" s="2" t="s">
        <v>3799</v>
      </c>
      <c r="I17" s="2" t="s">
        <v>3823</v>
      </c>
    </row>
    <row r="18" spans="1:9">
      <c r="A18" s="145"/>
      <c r="B18" s="2" t="s">
        <v>3738</v>
      </c>
      <c r="C18" s="2" t="s">
        <v>1541</v>
      </c>
      <c r="D18" s="145"/>
      <c r="E18" s="2" t="s">
        <v>16</v>
      </c>
      <c r="F18" s="2" t="s">
        <v>2367</v>
      </c>
      <c r="G18" s="152"/>
      <c r="H18" s="2" t="s">
        <v>4017</v>
      </c>
      <c r="I18" s="2" t="s">
        <v>3823</v>
      </c>
    </row>
    <row r="19" spans="1:9">
      <c r="A19" s="145"/>
      <c r="B19" s="143" t="s">
        <v>2522</v>
      </c>
      <c r="C19" s="2" t="s">
        <v>2310</v>
      </c>
      <c r="D19" s="145"/>
      <c r="E19" s="2" t="s">
        <v>3757</v>
      </c>
      <c r="F19" s="2" t="s">
        <v>3759</v>
      </c>
      <c r="G19" s="152"/>
      <c r="H19" s="2" t="s">
        <v>4018</v>
      </c>
      <c r="I19" s="2" t="s">
        <v>3823</v>
      </c>
    </row>
    <row r="20" spans="1:9">
      <c r="A20" s="145"/>
      <c r="B20" s="144"/>
      <c r="C20" s="2" t="s">
        <v>2438</v>
      </c>
      <c r="D20" s="144"/>
      <c r="E20" s="2" t="s">
        <v>3948</v>
      </c>
      <c r="F20" s="2" t="s">
        <v>1544</v>
      </c>
      <c r="G20" s="152"/>
      <c r="H20" s="2" t="s">
        <v>4015</v>
      </c>
      <c r="I20" s="2" t="s">
        <v>4019</v>
      </c>
    </row>
    <row r="21" spans="1:9">
      <c r="A21" s="144"/>
      <c r="B21" s="15" t="s">
        <v>2536</v>
      </c>
      <c r="C21" s="2" t="s">
        <v>2441</v>
      </c>
      <c r="D21" s="143" t="s">
        <v>2559</v>
      </c>
      <c r="E21" s="2" t="s">
        <v>4052</v>
      </c>
      <c r="F21" s="2" t="s">
        <v>4062</v>
      </c>
      <c r="G21" s="152"/>
      <c r="H21" s="2" t="s">
        <v>2934</v>
      </c>
      <c r="I21" s="2" t="s">
        <v>4019</v>
      </c>
    </row>
    <row r="22" spans="1:9">
      <c r="A22" s="143" t="s">
        <v>2534</v>
      </c>
      <c r="B22" s="2" t="s">
        <v>3736</v>
      </c>
      <c r="C22" s="2" t="s">
        <v>3740</v>
      </c>
      <c r="D22" s="145"/>
      <c r="E22" s="2" t="s">
        <v>4053</v>
      </c>
      <c r="F22" s="2" t="s">
        <v>4062</v>
      </c>
      <c r="G22" s="148"/>
      <c r="H22" s="2" t="s">
        <v>4016</v>
      </c>
      <c r="I22" s="2" t="s">
        <v>4019</v>
      </c>
    </row>
    <row r="23" spans="1:9">
      <c r="A23" s="145"/>
      <c r="B23" s="2" t="s">
        <v>1603</v>
      </c>
      <c r="C23" s="2" t="s">
        <v>1604</v>
      </c>
      <c r="D23" s="145"/>
      <c r="E23" s="2" t="s">
        <v>4057</v>
      </c>
      <c r="F23" s="2" t="s">
        <v>4062</v>
      </c>
      <c r="G23" s="139" t="s">
        <v>4007</v>
      </c>
      <c r="H23" s="2" t="s">
        <v>4008</v>
      </c>
      <c r="I23" s="2" t="s">
        <v>4011</v>
      </c>
    </row>
    <row r="24" spans="1:9">
      <c r="A24" s="144"/>
      <c r="B24" s="2" t="s">
        <v>2531</v>
      </c>
      <c r="C24" s="2" t="s">
        <v>2289</v>
      </c>
      <c r="D24" s="145"/>
      <c r="E24" s="2" t="s">
        <v>4059</v>
      </c>
      <c r="F24" s="2" t="s">
        <v>4062</v>
      </c>
      <c r="G24" s="139"/>
      <c r="H24" s="2" t="s">
        <v>4009</v>
      </c>
      <c r="I24" s="2" t="s">
        <v>4011</v>
      </c>
    </row>
    <row r="25" spans="1:9">
      <c r="A25" s="143" t="s">
        <v>41</v>
      </c>
      <c r="B25" s="2" t="s">
        <v>2348</v>
      </c>
      <c r="C25" s="2" t="s">
        <v>2363</v>
      </c>
      <c r="D25" s="145"/>
      <c r="E25" s="2" t="s">
        <v>4051</v>
      </c>
      <c r="F25" s="2" t="s">
        <v>3827</v>
      </c>
      <c r="G25" s="139"/>
      <c r="H25" s="2" t="s">
        <v>4010</v>
      </c>
      <c r="I25" s="2" t="s">
        <v>4011</v>
      </c>
    </row>
    <row r="26" spans="1:9">
      <c r="A26" s="144"/>
      <c r="B26" s="2" t="s">
        <v>3779</v>
      </c>
      <c r="C26" s="2" t="s">
        <v>3740</v>
      </c>
      <c r="D26" s="145"/>
      <c r="E26" s="2" t="s">
        <v>4055</v>
      </c>
      <c r="F26" s="2" t="s">
        <v>12</v>
      </c>
      <c r="G26" s="2" t="s">
        <v>4006</v>
      </c>
      <c r="H26" s="2" t="s">
        <v>3890</v>
      </c>
      <c r="I26" s="2" t="s">
        <v>1608</v>
      </c>
    </row>
    <row r="27" spans="1:9">
      <c r="A27" s="143" t="s">
        <v>2512</v>
      </c>
      <c r="B27" s="2" t="s">
        <v>3813</v>
      </c>
      <c r="C27" s="2" t="s">
        <v>2363</v>
      </c>
      <c r="D27" s="145"/>
      <c r="E27" s="2" t="s">
        <v>4056</v>
      </c>
      <c r="F27" s="2" t="s">
        <v>12</v>
      </c>
      <c r="G27" s="139" t="s">
        <v>4003</v>
      </c>
      <c r="H27" s="2" t="s">
        <v>4005</v>
      </c>
      <c r="I27" s="2" t="s">
        <v>3892</v>
      </c>
    </row>
    <row r="28" spans="1:9">
      <c r="A28" s="145"/>
      <c r="B28" s="2" t="s">
        <v>3965</v>
      </c>
      <c r="C28" s="2" t="s">
        <v>3740</v>
      </c>
      <c r="D28" s="145"/>
      <c r="E28" s="2" t="s">
        <v>4054</v>
      </c>
      <c r="F28" s="2" t="s">
        <v>12</v>
      </c>
      <c r="G28" s="139"/>
      <c r="H28" s="2" t="s">
        <v>3984</v>
      </c>
      <c r="I28" s="2" t="s">
        <v>3989</v>
      </c>
    </row>
    <row r="29" spans="1:9">
      <c r="A29" s="145"/>
      <c r="B29" s="2" t="s">
        <v>3966</v>
      </c>
      <c r="C29" s="2" t="s">
        <v>1543</v>
      </c>
      <c r="D29" s="145"/>
      <c r="E29" s="2" t="s">
        <v>4058</v>
      </c>
      <c r="F29" s="2" t="s">
        <v>12</v>
      </c>
      <c r="G29" s="139"/>
      <c r="H29" s="2" t="s">
        <v>4004</v>
      </c>
      <c r="I29" s="2" t="s">
        <v>3909</v>
      </c>
    </row>
    <row r="30" spans="1:9">
      <c r="A30" s="145"/>
      <c r="B30" s="2" t="s">
        <v>2494</v>
      </c>
      <c r="C30" s="2" t="s">
        <v>2437</v>
      </c>
      <c r="D30" s="145"/>
      <c r="E30" s="2" t="s">
        <v>3761</v>
      </c>
      <c r="F30" s="2" t="s">
        <v>3764</v>
      </c>
      <c r="G30" s="139" t="s">
        <v>2365</v>
      </c>
      <c r="H30" s="139" t="s">
        <v>4002</v>
      </c>
      <c r="I30" s="2" t="s">
        <v>2354</v>
      </c>
    </row>
    <row r="31" spans="1:9">
      <c r="A31" s="145"/>
      <c r="B31" s="2" t="s">
        <v>2541</v>
      </c>
      <c r="C31" s="2" t="s">
        <v>2440</v>
      </c>
      <c r="D31" s="145"/>
      <c r="E31" s="139" t="s">
        <v>3775</v>
      </c>
      <c r="F31" s="2" t="s">
        <v>2330</v>
      </c>
      <c r="G31" s="139"/>
      <c r="H31" s="139"/>
      <c r="I31" s="2" t="s">
        <v>3878</v>
      </c>
    </row>
    <row r="32" spans="1:9">
      <c r="A32" s="144"/>
      <c r="B32" s="2" t="s">
        <v>2503</v>
      </c>
      <c r="C32" s="2" t="s">
        <v>2441</v>
      </c>
      <c r="D32" s="145"/>
      <c r="E32" s="139"/>
      <c r="F32" s="2" t="s">
        <v>1659</v>
      </c>
      <c r="G32" s="139"/>
      <c r="H32" s="139" t="s">
        <v>4001</v>
      </c>
      <c r="I32" s="2" t="s">
        <v>2366</v>
      </c>
    </row>
    <row r="33" spans="1:9">
      <c r="A33" s="143" t="s">
        <v>2544</v>
      </c>
      <c r="B33" s="2" t="s">
        <v>3964</v>
      </c>
      <c r="C33" s="2" t="s">
        <v>2362</v>
      </c>
      <c r="D33" s="145"/>
      <c r="E33" s="2" t="s">
        <v>3920</v>
      </c>
      <c r="F33" s="2" t="s">
        <v>3765</v>
      </c>
      <c r="G33" s="139"/>
      <c r="H33" s="139"/>
      <c r="I33" s="2" t="s">
        <v>107</v>
      </c>
    </row>
    <row r="34" spans="1:9">
      <c r="A34" s="145"/>
      <c r="B34" s="2" t="s">
        <v>3734</v>
      </c>
      <c r="C34" s="2" t="s">
        <v>2362</v>
      </c>
      <c r="D34" s="145"/>
      <c r="E34" s="2" t="s">
        <v>3762</v>
      </c>
      <c r="F34" s="2" t="s">
        <v>3765</v>
      </c>
      <c r="G34" s="139"/>
      <c r="H34" s="139" t="s">
        <v>2932</v>
      </c>
      <c r="I34" s="2" t="s">
        <v>2354</v>
      </c>
    </row>
    <row r="35" spans="1:9">
      <c r="A35" s="145"/>
      <c r="B35" s="2" t="s">
        <v>3913</v>
      </c>
      <c r="C35" s="2" t="s">
        <v>2363</v>
      </c>
      <c r="D35" s="145"/>
      <c r="E35" s="2" t="s">
        <v>4061</v>
      </c>
      <c r="F35" s="2" t="s">
        <v>1540</v>
      </c>
      <c r="G35" s="139"/>
      <c r="H35" s="139"/>
      <c r="I35" s="2" t="s">
        <v>3878</v>
      </c>
    </row>
    <row r="36" spans="1:9">
      <c r="A36" s="145"/>
      <c r="B36" s="2" t="s">
        <v>3953</v>
      </c>
      <c r="C36" s="2" t="s">
        <v>3782</v>
      </c>
      <c r="D36" s="145"/>
      <c r="E36" s="2" t="s">
        <v>4060</v>
      </c>
      <c r="F36" s="2" t="s">
        <v>1539</v>
      </c>
      <c r="G36" s="139"/>
      <c r="H36" s="2" t="s">
        <v>3986</v>
      </c>
      <c r="I36" s="2" t="s">
        <v>2933</v>
      </c>
    </row>
    <row r="37" spans="1:9">
      <c r="A37" s="145"/>
      <c r="B37" s="2" t="s">
        <v>39</v>
      </c>
      <c r="C37" s="2" t="s">
        <v>3740</v>
      </c>
      <c r="D37" s="145"/>
      <c r="E37" s="2" t="s">
        <v>3763</v>
      </c>
      <c r="F37" s="2" t="s">
        <v>1539</v>
      </c>
      <c r="G37" s="139" t="s">
        <v>3991</v>
      </c>
      <c r="H37" s="2" t="s">
        <v>3992</v>
      </c>
      <c r="I37" s="2" t="s">
        <v>3987</v>
      </c>
    </row>
    <row r="38" spans="1:9">
      <c r="A38" s="145"/>
      <c r="B38" s="2" t="s">
        <v>3846</v>
      </c>
      <c r="C38" s="2" t="s">
        <v>1542</v>
      </c>
      <c r="D38" s="145"/>
      <c r="E38" s="2" t="s">
        <v>1599</v>
      </c>
      <c r="F38" s="2" t="s">
        <v>1598</v>
      </c>
      <c r="G38" s="139"/>
      <c r="H38" s="2" t="s">
        <v>3996</v>
      </c>
      <c r="I38" s="2" t="s">
        <v>3883</v>
      </c>
    </row>
    <row r="39" spans="1:9">
      <c r="A39" s="145"/>
      <c r="B39" s="2" t="s">
        <v>3954</v>
      </c>
      <c r="C39" s="2" t="s">
        <v>1543</v>
      </c>
      <c r="D39" s="144"/>
      <c r="E39" s="2" t="s">
        <v>2558</v>
      </c>
      <c r="F39" s="2" t="s">
        <v>2440</v>
      </c>
      <c r="G39" s="139"/>
      <c r="H39" s="139" t="s">
        <v>2932</v>
      </c>
      <c r="I39" s="2" t="s">
        <v>2354</v>
      </c>
    </row>
    <row r="40" spans="1:9">
      <c r="A40" s="145"/>
      <c r="B40" s="2" t="s">
        <v>3917</v>
      </c>
      <c r="C40" s="2" t="s">
        <v>1541</v>
      </c>
      <c r="D40" s="143" t="s">
        <v>2539</v>
      </c>
      <c r="E40" s="2" t="s">
        <v>4039</v>
      </c>
      <c r="F40" s="2" t="s">
        <v>3825</v>
      </c>
      <c r="G40" s="139"/>
      <c r="H40" s="139"/>
      <c r="I40" s="2" t="s">
        <v>3878</v>
      </c>
    </row>
    <row r="41" spans="1:9">
      <c r="A41" s="144"/>
      <c r="B41" s="2" t="s">
        <v>2543</v>
      </c>
      <c r="C41" s="2" t="s">
        <v>2438</v>
      </c>
      <c r="D41" s="145"/>
      <c r="E41" s="2" t="s">
        <v>4043</v>
      </c>
      <c r="F41" s="2" t="s">
        <v>3825</v>
      </c>
      <c r="G41" s="139"/>
      <c r="H41" s="2" t="s">
        <v>3997</v>
      </c>
      <c r="I41" s="2" t="s">
        <v>3999</v>
      </c>
    </row>
    <row r="42" spans="1:9">
      <c r="A42" s="143" t="s">
        <v>2515</v>
      </c>
      <c r="B42" s="2" t="s">
        <v>37</v>
      </c>
      <c r="C42" s="2" t="s">
        <v>3782</v>
      </c>
      <c r="D42" s="145"/>
      <c r="E42" s="2" t="s">
        <v>4041</v>
      </c>
      <c r="F42" s="2" t="s">
        <v>4048</v>
      </c>
      <c r="G42" s="139"/>
      <c r="H42" s="139" t="s">
        <v>3995</v>
      </c>
      <c r="I42" s="2" t="s">
        <v>2324</v>
      </c>
    </row>
    <row r="43" spans="1:9">
      <c r="A43" s="144"/>
      <c r="B43" s="2" t="s">
        <v>2498</v>
      </c>
      <c r="C43" s="2" t="s">
        <v>2287</v>
      </c>
      <c r="D43" s="145"/>
      <c r="E43" s="2" t="s">
        <v>4040</v>
      </c>
      <c r="F43" s="2" t="s">
        <v>4048</v>
      </c>
      <c r="G43" s="139"/>
      <c r="H43" s="139"/>
      <c r="I43" s="2" t="s">
        <v>106</v>
      </c>
    </row>
    <row r="44" spans="1:9">
      <c r="A44" s="139" t="s">
        <v>35</v>
      </c>
      <c r="B44" s="143" t="s">
        <v>3816</v>
      </c>
      <c r="C44" s="2" t="s">
        <v>2312</v>
      </c>
      <c r="D44" s="145"/>
      <c r="E44" s="2" t="s">
        <v>4042</v>
      </c>
      <c r="F44" s="2" t="s">
        <v>4048</v>
      </c>
      <c r="G44" s="139"/>
      <c r="H44" s="2" t="s">
        <v>3984</v>
      </c>
      <c r="I44" s="2" t="s">
        <v>3989</v>
      </c>
    </row>
    <row r="45" spans="1:9">
      <c r="A45" s="139"/>
      <c r="B45" s="144"/>
      <c r="C45" s="2" t="s">
        <v>2925</v>
      </c>
      <c r="D45" s="145"/>
      <c r="E45" s="2" t="s">
        <v>4044</v>
      </c>
      <c r="F45" s="2" t="s">
        <v>4048</v>
      </c>
      <c r="G45" s="139"/>
      <c r="H45" s="2" t="s">
        <v>3986</v>
      </c>
      <c r="I45" s="2" t="s">
        <v>2933</v>
      </c>
    </row>
    <row r="46" spans="1:9">
      <c r="A46" s="139"/>
      <c r="B46" s="2" t="s">
        <v>3778</v>
      </c>
      <c r="C46" s="2" t="s">
        <v>2334</v>
      </c>
      <c r="D46" s="145"/>
      <c r="E46" s="139" t="s">
        <v>3766</v>
      </c>
      <c r="F46" s="2" t="s">
        <v>2323</v>
      </c>
      <c r="G46" s="139"/>
      <c r="H46" s="2" t="s">
        <v>3993</v>
      </c>
      <c r="I46" s="2" t="s">
        <v>2364</v>
      </c>
    </row>
    <row r="47" spans="1:9">
      <c r="A47" s="143" t="s">
        <v>31</v>
      </c>
      <c r="B47" s="2" t="s">
        <v>32</v>
      </c>
      <c r="C47" s="2" t="s">
        <v>34</v>
      </c>
      <c r="D47" s="145"/>
      <c r="E47" s="139"/>
      <c r="F47" s="2" t="s">
        <v>2305</v>
      </c>
      <c r="G47" s="139"/>
      <c r="H47" s="2" t="s">
        <v>3994</v>
      </c>
      <c r="I47" s="2" t="s">
        <v>3998</v>
      </c>
    </row>
    <row r="48" spans="1:9">
      <c r="A48" s="145"/>
      <c r="B48" s="2" t="s">
        <v>33</v>
      </c>
      <c r="C48" s="2" t="s">
        <v>2312</v>
      </c>
      <c r="D48" s="145"/>
      <c r="E48" s="2" t="s">
        <v>3962</v>
      </c>
      <c r="F48" s="2" t="s">
        <v>2330</v>
      </c>
      <c r="G48" s="139"/>
      <c r="H48" s="2" t="s">
        <v>3901</v>
      </c>
      <c r="I48" s="2" t="s">
        <v>3822</v>
      </c>
    </row>
    <row r="49" spans="1:9">
      <c r="A49" s="144"/>
      <c r="B49" s="2" t="s">
        <v>3955</v>
      </c>
      <c r="C49" s="2" t="s">
        <v>2334</v>
      </c>
      <c r="D49" s="145"/>
      <c r="E49" s="2" t="s">
        <v>3935</v>
      </c>
      <c r="F49" s="2" t="s">
        <v>3772</v>
      </c>
      <c r="G49" s="139"/>
      <c r="H49" s="2" t="s">
        <v>2298</v>
      </c>
      <c r="I49" s="2" t="s">
        <v>3822</v>
      </c>
    </row>
    <row r="50" spans="1:9">
      <c r="A50" s="143" t="s">
        <v>2521</v>
      </c>
      <c r="B50" s="2" t="s">
        <v>29</v>
      </c>
      <c r="C50" s="2" t="s">
        <v>2937</v>
      </c>
      <c r="D50" s="145"/>
      <c r="E50" s="2" t="s">
        <v>4046</v>
      </c>
      <c r="F50" s="2" t="s">
        <v>4037</v>
      </c>
      <c r="G50" s="143" t="s">
        <v>3973</v>
      </c>
      <c r="H50" s="2" t="s">
        <v>3980</v>
      </c>
      <c r="I50" s="2" t="s">
        <v>3824</v>
      </c>
    </row>
    <row r="51" spans="1:9">
      <c r="A51" s="145"/>
      <c r="B51" s="143" t="s">
        <v>3743</v>
      </c>
      <c r="C51" s="2" t="s">
        <v>2312</v>
      </c>
      <c r="D51" s="145"/>
      <c r="E51" s="2" t="s">
        <v>4047</v>
      </c>
      <c r="F51" s="2" t="s">
        <v>2936</v>
      </c>
      <c r="G51" s="145"/>
      <c r="H51" s="139" t="s">
        <v>3976</v>
      </c>
      <c r="I51" s="2" t="s">
        <v>2349</v>
      </c>
    </row>
    <row r="52" spans="1:9">
      <c r="A52" s="145"/>
      <c r="B52" s="144"/>
      <c r="C52" s="2" t="s">
        <v>2925</v>
      </c>
      <c r="D52" s="145"/>
      <c r="E52" s="2" t="s">
        <v>3754</v>
      </c>
      <c r="F52" s="2" t="s">
        <v>3759</v>
      </c>
      <c r="G52" s="145"/>
      <c r="H52" s="139"/>
      <c r="I52" s="2" t="s">
        <v>105</v>
      </c>
    </row>
    <row r="53" spans="1:9">
      <c r="A53" s="145"/>
      <c r="B53" s="2" t="s">
        <v>30</v>
      </c>
      <c r="C53" s="2" t="s">
        <v>4037</v>
      </c>
      <c r="D53" s="145"/>
      <c r="E53" s="2" t="s">
        <v>4045</v>
      </c>
      <c r="F53" s="2" t="s">
        <v>1538</v>
      </c>
      <c r="G53" s="145"/>
      <c r="H53" s="139" t="s">
        <v>3979</v>
      </c>
      <c r="I53" s="2" t="s">
        <v>2350</v>
      </c>
    </row>
    <row r="54" spans="1:9">
      <c r="A54" s="145"/>
      <c r="B54" s="2" t="s">
        <v>2500</v>
      </c>
      <c r="C54" s="2" t="s">
        <v>2287</v>
      </c>
      <c r="D54" s="145"/>
      <c r="E54" s="2" t="s">
        <v>3936</v>
      </c>
      <c r="F54" s="2" t="s">
        <v>1539</v>
      </c>
      <c r="G54" s="145"/>
      <c r="H54" s="139"/>
      <c r="I54" s="2" t="s">
        <v>105</v>
      </c>
    </row>
    <row r="55" spans="1:9">
      <c r="A55" s="144"/>
      <c r="B55" s="2" t="s">
        <v>2551</v>
      </c>
      <c r="C55" s="2" t="s">
        <v>2438</v>
      </c>
      <c r="D55" s="145"/>
      <c r="E55" s="2" t="s">
        <v>1592</v>
      </c>
      <c r="F55" s="2" t="s">
        <v>128</v>
      </c>
      <c r="G55" s="145"/>
      <c r="H55" s="139"/>
      <c r="I55" s="2" t="s">
        <v>2938</v>
      </c>
    </row>
    <row r="56" spans="1:9">
      <c r="A56" s="143" t="s">
        <v>2556</v>
      </c>
      <c r="B56" s="2" t="s">
        <v>26</v>
      </c>
      <c r="C56" s="2" t="s">
        <v>2937</v>
      </c>
      <c r="D56" s="145"/>
      <c r="E56" s="2" t="s">
        <v>1597</v>
      </c>
      <c r="F56" s="2" t="s">
        <v>1598</v>
      </c>
      <c r="G56" s="145"/>
      <c r="H56" s="139" t="s">
        <v>3978</v>
      </c>
      <c r="I56" s="2" t="s">
        <v>2350</v>
      </c>
    </row>
    <row r="57" spans="1:9">
      <c r="A57" s="145"/>
      <c r="B57" s="2" t="s">
        <v>25</v>
      </c>
      <c r="C57" s="2" t="s">
        <v>2937</v>
      </c>
      <c r="D57" s="144"/>
      <c r="E57" s="2" t="s">
        <v>2540</v>
      </c>
      <c r="F57" s="2" t="s">
        <v>2287</v>
      </c>
      <c r="G57" s="145"/>
      <c r="H57" s="139"/>
      <c r="I57" s="2" t="s">
        <v>2343</v>
      </c>
    </row>
    <row r="58" spans="1:9">
      <c r="A58" s="145"/>
      <c r="B58" s="2" t="s">
        <v>3817</v>
      </c>
      <c r="C58" s="2" t="s">
        <v>2355</v>
      </c>
      <c r="D58" s="143" t="s">
        <v>4027</v>
      </c>
      <c r="E58" s="2" t="s">
        <v>4028</v>
      </c>
      <c r="F58" s="2" t="s">
        <v>4036</v>
      </c>
      <c r="G58" s="145"/>
      <c r="H58" s="2" t="s">
        <v>3802</v>
      </c>
      <c r="I58" s="2" t="s">
        <v>3826</v>
      </c>
    </row>
    <row r="59" spans="1:9">
      <c r="A59" s="145"/>
      <c r="B59" s="2" t="s">
        <v>3951</v>
      </c>
      <c r="C59" s="2" t="s">
        <v>2318</v>
      </c>
      <c r="D59" s="145"/>
      <c r="E59" s="2" t="s">
        <v>4030</v>
      </c>
      <c r="F59" s="2" t="s">
        <v>4036</v>
      </c>
      <c r="G59" s="145"/>
      <c r="H59" s="2" t="s">
        <v>2352</v>
      </c>
      <c r="I59" s="2" t="s">
        <v>3826</v>
      </c>
    </row>
    <row r="60" spans="1:9">
      <c r="A60" s="145"/>
      <c r="B60" s="2" t="s">
        <v>27</v>
      </c>
      <c r="C60" s="2" t="s">
        <v>1647</v>
      </c>
      <c r="D60" s="145"/>
      <c r="E60" s="2" t="s">
        <v>2935</v>
      </c>
      <c r="F60" s="2" t="s">
        <v>4036</v>
      </c>
      <c r="G60" s="145"/>
      <c r="H60" s="2" t="s">
        <v>3975</v>
      </c>
      <c r="I60" s="2" t="s">
        <v>3988</v>
      </c>
    </row>
    <row r="61" spans="1:9">
      <c r="A61" s="145"/>
      <c r="B61" s="2" t="s">
        <v>3952</v>
      </c>
      <c r="C61" s="2" t="s">
        <v>1542</v>
      </c>
      <c r="D61" s="145"/>
      <c r="E61" s="2" t="s">
        <v>4031</v>
      </c>
      <c r="F61" s="2" t="s">
        <v>4036</v>
      </c>
      <c r="G61" s="145"/>
      <c r="H61" s="2" t="s">
        <v>3983</v>
      </c>
      <c r="I61" s="2" t="s">
        <v>3883</v>
      </c>
    </row>
    <row r="62" spans="1:9">
      <c r="A62" s="144"/>
      <c r="B62" s="2" t="s">
        <v>2880</v>
      </c>
      <c r="C62" s="2" t="s">
        <v>2288</v>
      </c>
      <c r="D62" s="145"/>
      <c r="E62" s="2" t="s">
        <v>4032</v>
      </c>
      <c r="F62" s="2" t="s">
        <v>4036</v>
      </c>
      <c r="G62" s="145"/>
      <c r="H62" s="139" t="s">
        <v>2932</v>
      </c>
      <c r="I62" s="2" t="s">
        <v>2354</v>
      </c>
    </row>
    <row r="63" spans="1:9">
      <c r="A63" s="143" t="s">
        <v>22</v>
      </c>
      <c r="B63" s="2" t="s">
        <v>23</v>
      </c>
      <c r="C63" s="2" t="s">
        <v>2937</v>
      </c>
      <c r="D63" s="145"/>
      <c r="E63" s="2" t="s">
        <v>3843</v>
      </c>
      <c r="F63" s="2" t="s">
        <v>2351</v>
      </c>
      <c r="G63" s="145"/>
      <c r="H63" s="139"/>
      <c r="I63" s="2" t="s">
        <v>3878</v>
      </c>
    </row>
    <row r="64" spans="1:9">
      <c r="A64" s="145"/>
      <c r="B64" s="2" t="s">
        <v>3785</v>
      </c>
      <c r="C64" s="2" t="s">
        <v>3789</v>
      </c>
      <c r="D64" s="145"/>
      <c r="E64" s="2" t="s">
        <v>4029</v>
      </c>
      <c r="F64" s="2" t="s">
        <v>3827</v>
      </c>
      <c r="G64" s="145"/>
      <c r="H64" s="139" t="s">
        <v>3893</v>
      </c>
      <c r="I64" s="2" t="s">
        <v>2324</v>
      </c>
    </row>
    <row r="65" spans="1:9">
      <c r="A65" s="145"/>
      <c r="B65" s="2" t="s">
        <v>2297</v>
      </c>
      <c r="C65" s="2" t="s">
        <v>2318</v>
      </c>
      <c r="D65" s="145"/>
      <c r="E65" s="143" t="s">
        <v>3939</v>
      </c>
      <c r="F65" s="2" t="s">
        <v>2332</v>
      </c>
      <c r="G65" s="145"/>
      <c r="H65" s="139"/>
      <c r="I65" s="2" t="s">
        <v>106</v>
      </c>
    </row>
    <row r="66" spans="1:9">
      <c r="A66" s="144"/>
      <c r="B66" s="2" t="s">
        <v>3787</v>
      </c>
      <c r="C66" s="2" t="s">
        <v>1542</v>
      </c>
      <c r="D66" s="145"/>
      <c r="E66" s="144"/>
      <c r="F66" s="2" t="s">
        <v>3940</v>
      </c>
      <c r="G66" s="145"/>
      <c r="H66" s="2" t="s">
        <v>3889</v>
      </c>
      <c r="I66" s="2" t="s">
        <v>3892</v>
      </c>
    </row>
    <row r="67" spans="1:9">
      <c r="A67" s="143" t="s">
        <v>19</v>
      </c>
      <c r="B67" s="2" t="s">
        <v>20</v>
      </c>
      <c r="C67" s="2" t="s">
        <v>3827</v>
      </c>
      <c r="D67" s="145"/>
      <c r="E67" s="143" t="s">
        <v>3961</v>
      </c>
      <c r="F67" s="2" t="s">
        <v>2317</v>
      </c>
      <c r="G67" s="145"/>
      <c r="H67" s="2" t="s">
        <v>3984</v>
      </c>
      <c r="I67" s="2" t="s">
        <v>3989</v>
      </c>
    </row>
    <row r="68" spans="1:9">
      <c r="A68" s="145"/>
      <c r="B68" s="143" t="s">
        <v>2303</v>
      </c>
      <c r="C68" s="2" t="s">
        <v>2304</v>
      </c>
      <c r="D68" s="145"/>
      <c r="E68" s="145"/>
      <c r="F68" s="2" t="s">
        <v>2353</v>
      </c>
      <c r="G68" s="145"/>
      <c r="H68" s="2" t="s">
        <v>3985</v>
      </c>
      <c r="I68" s="2" t="s">
        <v>2356</v>
      </c>
    </row>
    <row r="69" spans="1:9">
      <c r="A69" s="145"/>
      <c r="B69" s="144"/>
      <c r="C69" s="2" t="s">
        <v>2305</v>
      </c>
      <c r="D69" s="145"/>
      <c r="E69" s="144"/>
      <c r="F69" s="2" t="s">
        <v>2927</v>
      </c>
      <c r="G69" s="145"/>
      <c r="H69" s="2" t="s">
        <v>3986</v>
      </c>
      <c r="I69" s="2" t="s">
        <v>2357</v>
      </c>
    </row>
    <row r="70" spans="1:9">
      <c r="A70" s="145"/>
      <c r="B70" s="2" t="s">
        <v>3756</v>
      </c>
      <c r="C70" s="2" t="s">
        <v>3759</v>
      </c>
      <c r="D70" s="145"/>
      <c r="E70" s="2" t="s">
        <v>3818</v>
      </c>
      <c r="F70" s="2" t="s">
        <v>3830</v>
      </c>
      <c r="G70" s="145"/>
      <c r="H70" s="2" t="s">
        <v>3981</v>
      </c>
      <c r="I70" s="2" t="s">
        <v>2358</v>
      </c>
    </row>
    <row r="71" spans="1:9">
      <c r="A71" s="145"/>
      <c r="B71" s="2" t="s">
        <v>21</v>
      </c>
      <c r="C71" s="2" t="s">
        <v>1540</v>
      </c>
      <c r="D71" s="145"/>
      <c r="E71" s="2" t="s">
        <v>4033</v>
      </c>
      <c r="F71" s="2" t="s">
        <v>4037</v>
      </c>
      <c r="G71" s="145"/>
      <c r="H71" s="2" t="s">
        <v>3974</v>
      </c>
      <c r="I71" s="2" t="s">
        <v>2359</v>
      </c>
    </row>
    <row r="72" spans="1:9">
      <c r="A72" s="145"/>
      <c r="B72" s="2" t="s">
        <v>3944</v>
      </c>
      <c r="C72" s="2" t="s">
        <v>1543</v>
      </c>
      <c r="D72" s="145"/>
      <c r="E72" s="2" t="s">
        <v>4034</v>
      </c>
      <c r="F72" s="2" t="s">
        <v>1538</v>
      </c>
      <c r="G72" s="145"/>
      <c r="H72" s="2" t="s">
        <v>3977</v>
      </c>
      <c r="I72" s="2" t="s">
        <v>3820</v>
      </c>
    </row>
    <row r="73" spans="1:9">
      <c r="A73" s="144"/>
      <c r="B73" s="2" t="s">
        <v>1601</v>
      </c>
      <c r="C73" s="2" t="s">
        <v>1600</v>
      </c>
      <c r="D73" s="145"/>
      <c r="E73" s="2" t="s">
        <v>4035</v>
      </c>
      <c r="F73" s="2" t="s">
        <v>1540</v>
      </c>
      <c r="G73" s="145"/>
      <c r="H73" s="2" t="s">
        <v>2360</v>
      </c>
      <c r="I73" s="2" t="s">
        <v>2361</v>
      </c>
    </row>
    <row r="74" spans="1:9">
      <c r="A74" s="17"/>
      <c r="B74" s="17"/>
      <c r="C74" s="17"/>
      <c r="D74" s="144"/>
      <c r="E74" s="2" t="s">
        <v>1594</v>
      </c>
      <c r="F74" s="2" t="s">
        <v>1595</v>
      </c>
      <c r="G74" s="145"/>
      <c r="H74" s="2" t="s">
        <v>3982</v>
      </c>
      <c r="I74" s="2" t="s">
        <v>3822</v>
      </c>
    </row>
    <row r="75" spans="1:9">
      <c r="A75" s="17"/>
      <c r="B75" s="17"/>
      <c r="C75" s="17"/>
      <c r="D75" s="17"/>
      <c r="E75" s="17"/>
      <c r="F75" s="17"/>
      <c r="G75" s="144"/>
      <c r="H75" s="2" t="s">
        <v>3900</v>
      </c>
      <c r="I75" s="2" t="s">
        <v>3899</v>
      </c>
    </row>
    <row r="76" spans="1:9">
      <c r="A76" s="17"/>
      <c r="B76" s="17"/>
      <c r="C76" s="17"/>
    </row>
    <row r="77" spans="1:9">
      <c r="A77" s="17"/>
      <c r="B77" s="17"/>
      <c r="C77" s="17"/>
    </row>
    <row r="78" spans="1:9">
      <c r="A78" s="17"/>
      <c r="B78" s="17"/>
      <c r="C78" s="17"/>
    </row>
    <row r="79" spans="1:9">
      <c r="A79" s="17"/>
      <c r="B79" s="17"/>
      <c r="C79" s="17"/>
    </row>
  </sheetData>
  <mergeCells count="50">
    <mergeCell ref="G50:G75"/>
    <mergeCell ref="H56:H57"/>
    <mergeCell ref="H51:H52"/>
    <mergeCell ref="H53:H55"/>
    <mergeCell ref="H62:H63"/>
    <mergeCell ref="H64:H65"/>
    <mergeCell ref="H34:H35"/>
    <mergeCell ref="G30:G36"/>
    <mergeCell ref="H30:H31"/>
    <mergeCell ref="H32:H33"/>
    <mergeCell ref="H42:H43"/>
    <mergeCell ref="H39:H40"/>
    <mergeCell ref="G37:G49"/>
    <mergeCell ref="G23:G25"/>
    <mergeCell ref="G27:G29"/>
    <mergeCell ref="D12:D20"/>
    <mergeCell ref="E31:E32"/>
    <mergeCell ref="D21:D39"/>
    <mergeCell ref="E15:E16"/>
    <mergeCell ref="E46:E47"/>
    <mergeCell ref="A56:A62"/>
    <mergeCell ref="A63:A66"/>
    <mergeCell ref="B68:B69"/>
    <mergeCell ref="A67:A73"/>
    <mergeCell ref="D58:D74"/>
    <mergeCell ref="E65:E66"/>
    <mergeCell ref="E67:E69"/>
    <mergeCell ref="D40:D57"/>
    <mergeCell ref="A42:A43"/>
    <mergeCell ref="A44:A46"/>
    <mergeCell ref="B44:B45"/>
    <mergeCell ref="A47:A49"/>
    <mergeCell ref="B51:B52"/>
    <mergeCell ref="A50:A55"/>
    <mergeCell ref="A33:A41"/>
    <mergeCell ref="A1:I1"/>
    <mergeCell ref="A11:A12"/>
    <mergeCell ref="D3:D11"/>
    <mergeCell ref="E4:E5"/>
    <mergeCell ref="G3:G14"/>
    <mergeCell ref="H7:H9"/>
    <mergeCell ref="A3:A6"/>
    <mergeCell ref="A7:A10"/>
    <mergeCell ref="A13:A16"/>
    <mergeCell ref="G15:G22"/>
    <mergeCell ref="B19:B20"/>
    <mergeCell ref="A17:A21"/>
    <mergeCell ref="A22:A24"/>
    <mergeCell ref="A25:A26"/>
    <mergeCell ref="A27:A32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29"/>
  <sheetViews>
    <sheetView zoomScaleNormal="100" workbookViewId="0">
      <pane xSplit="1" ySplit="2" topLeftCell="B111" activePane="bottomRight" state="frozen"/>
      <selection pane="topRight" activeCell="B1" sqref="B1"/>
      <selection pane="bottomLeft" activeCell="A3" sqref="A3"/>
      <selection pane="bottomRight" activeCell="C66" sqref="C66"/>
    </sheetView>
  </sheetViews>
  <sheetFormatPr defaultRowHeight="14.25"/>
  <cols>
    <col min="1" max="1" width="7.625" style="27" customWidth="1"/>
    <col min="2" max="2" width="11.375" style="27" bestFit="1" customWidth="1"/>
    <col min="3" max="3" width="9.5" style="27" bestFit="1" customWidth="1"/>
    <col min="4" max="4" width="13.125" style="27" bestFit="1" customWidth="1"/>
    <col min="5" max="5" width="39.5" style="27" customWidth="1"/>
    <col min="6" max="6" width="35.625" style="27" customWidth="1"/>
    <col min="7" max="16384" width="9" style="27"/>
  </cols>
  <sheetData>
    <row r="1" spans="1:6" ht="33">
      <c r="A1" s="153" t="s">
        <v>3251</v>
      </c>
      <c r="B1" s="153"/>
      <c r="C1" s="153"/>
      <c r="D1" s="153"/>
      <c r="E1" s="153"/>
      <c r="F1" s="153"/>
    </row>
    <row r="2" spans="1:6">
      <c r="A2" s="5" t="s">
        <v>502</v>
      </c>
      <c r="B2" s="5" t="s">
        <v>1605</v>
      </c>
      <c r="C2" s="5" t="s">
        <v>1606</v>
      </c>
      <c r="D2" s="5" t="s">
        <v>2585</v>
      </c>
      <c r="E2" s="5" t="s">
        <v>1607</v>
      </c>
      <c r="F2" s="12" t="s">
        <v>200</v>
      </c>
    </row>
    <row r="3" spans="1:6">
      <c r="A3" s="154" t="s">
        <v>1693</v>
      </c>
      <c r="B3" s="2" t="s">
        <v>1697</v>
      </c>
      <c r="C3" s="2" t="s">
        <v>1694</v>
      </c>
      <c r="D3" s="2" t="s">
        <v>2595</v>
      </c>
      <c r="E3" s="2" t="s">
        <v>3851</v>
      </c>
      <c r="F3" s="2" t="s">
        <v>2633</v>
      </c>
    </row>
    <row r="4" spans="1:6">
      <c r="A4" s="154"/>
      <c r="B4" s="2" t="s">
        <v>2586</v>
      </c>
      <c r="C4" s="2" t="s">
        <v>2587</v>
      </c>
      <c r="D4" s="2" t="s">
        <v>2596</v>
      </c>
      <c r="E4" s="2"/>
      <c r="F4" s="2" t="s">
        <v>2642</v>
      </c>
    </row>
    <row r="5" spans="1:6">
      <c r="A5" s="154"/>
      <c r="B5" s="2" t="s">
        <v>1702</v>
      </c>
      <c r="C5" s="2" t="s">
        <v>1704</v>
      </c>
      <c r="D5" s="2" t="s">
        <v>2598</v>
      </c>
      <c r="E5" s="2" t="s">
        <v>1703</v>
      </c>
      <c r="F5" s="2" t="s">
        <v>2643</v>
      </c>
    </row>
    <row r="6" spans="1:6">
      <c r="A6" s="154"/>
      <c r="B6" s="2" t="s">
        <v>1695</v>
      </c>
      <c r="C6" s="2" t="s">
        <v>1696</v>
      </c>
      <c r="D6" s="2" t="s">
        <v>2596</v>
      </c>
      <c r="E6" s="2" t="s">
        <v>1698</v>
      </c>
      <c r="F6" s="2" t="s">
        <v>2634</v>
      </c>
    </row>
    <row r="7" spans="1:6">
      <c r="A7" s="154"/>
      <c r="B7" s="2" t="s">
        <v>1707</v>
      </c>
      <c r="C7" s="2" t="s">
        <v>2590</v>
      </c>
      <c r="D7" s="2" t="s">
        <v>2598</v>
      </c>
      <c r="E7" s="2" t="s">
        <v>1705</v>
      </c>
      <c r="F7" s="2" t="s">
        <v>2632</v>
      </c>
    </row>
    <row r="8" spans="1:6">
      <c r="A8" s="154"/>
      <c r="B8" s="2" t="s">
        <v>2588</v>
      </c>
      <c r="C8" s="2" t="s">
        <v>2589</v>
      </c>
      <c r="D8" s="2" t="s">
        <v>2596</v>
      </c>
      <c r="E8" s="2"/>
      <c r="F8" s="2" t="s">
        <v>2635</v>
      </c>
    </row>
    <row r="9" spans="1:6">
      <c r="A9" s="154"/>
      <c r="B9" s="2" t="s">
        <v>1700</v>
      </c>
      <c r="C9" s="2" t="s">
        <v>2591</v>
      </c>
      <c r="D9" s="2" t="s">
        <v>2599</v>
      </c>
      <c r="E9" s="2" t="s">
        <v>1706</v>
      </c>
      <c r="F9" s="2" t="s">
        <v>2636</v>
      </c>
    </row>
    <row r="10" spans="1:6">
      <c r="A10" s="154"/>
      <c r="B10" s="2" t="s">
        <v>1708</v>
      </c>
      <c r="C10" s="1" t="s">
        <v>1648</v>
      </c>
      <c r="D10" s="2" t="s">
        <v>2600</v>
      </c>
      <c r="E10" s="2" t="s">
        <v>1701</v>
      </c>
      <c r="F10" s="2" t="s">
        <v>2637</v>
      </c>
    </row>
    <row r="11" spans="1:6">
      <c r="A11" s="154"/>
      <c r="B11" s="2" t="s">
        <v>1709</v>
      </c>
      <c r="C11" s="2" t="s">
        <v>1699</v>
      </c>
      <c r="D11" s="2" t="s">
        <v>2601</v>
      </c>
      <c r="E11" s="2" t="s">
        <v>1710</v>
      </c>
      <c r="F11" s="2" t="s">
        <v>2638</v>
      </c>
    </row>
    <row r="12" spans="1:6">
      <c r="A12" s="154"/>
      <c r="B12" s="2" t="s">
        <v>2592</v>
      </c>
      <c r="C12" s="1" t="s">
        <v>2639</v>
      </c>
      <c r="D12" s="2" t="s">
        <v>2602</v>
      </c>
      <c r="E12" s="2"/>
      <c r="F12" s="2" t="s">
        <v>2640</v>
      </c>
    </row>
    <row r="13" spans="1:6">
      <c r="A13" s="154"/>
      <c r="B13" s="2" t="s">
        <v>2593</v>
      </c>
      <c r="C13" s="2" t="s">
        <v>2462</v>
      </c>
      <c r="D13" s="2" t="s">
        <v>2603</v>
      </c>
      <c r="E13" s="2"/>
      <c r="F13" s="2" t="s">
        <v>2641</v>
      </c>
    </row>
    <row r="15" spans="1:6">
      <c r="A15" s="154" t="s">
        <v>506</v>
      </c>
      <c r="B15" s="2" t="s">
        <v>2604</v>
      </c>
      <c r="C15" s="1" t="s">
        <v>2605</v>
      </c>
      <c r="D15" s="2" t="s">
        <v>2596</v>
      </c>
      <c r="E15" s="5"/>
      <c r="F15" s="2" t="s">
        <v>2644</v>
      </c>
    </row>
    <row r="16" spans="1:6">
      <c r="A16" s="154"/>
      <c r="B16" s="2" t="s">
        <v>2606</v>
      </c>
      <c r="C16" s="1" t="s">
        <v>2609</v>
      </c>
      <c r="D16" s="2" t="s">
        <v>2617</v>
      </c>
      <c r="E16" s="5"/>
      <c r="F16" s="2" t="s">
        <v>2654</v>
      </c>
    </row>
    <row r="17" spans="1:6">
      <c r="A17" s="154"/>
      <c r="B17" s="2" t="s">
        <v>2607</v>
      </c>
      <c r="C17" s="1" t="s">
        <v>2610</v>
      </c>
      <c r="D17" s="2" t="s">
        <v>2597</v>
      </c>
      <c r="E17" s="5"/>
      <c r="F17" s="2" t="s">
        <v>2655</v>
      </c>
    </row>
    <row r="18" spans="1:6">
      <c r="A18" s="154"/>
      <c r="B18" s="2" t="s">
        <v>2608</v>
      </c>
      <c r="C18" s="1" t="s">
        <v>2611</v>
      </c>
      <c r="D18" s="2" t="s">
        <v>2595</v>
      </c>
      <c r="E18" s="5"/>
      <c r="F18" s="2" t="s">
        <v>2656</v>
      </c>
    </row>
    <row r="19" spans="1:6">
      <c r="A19" s="154"/>
      <c r="B19" s="2" t="s">
        <v>2614</v>
      </c>
      <c r="C19" s="1" t="s">
        <v>1696</v>
      </c>
      <c r="D19" s="2" t="s">
        <v>2599</v>
      </c>
      <c r="E19" s="5"/>
      <c r="F19" s="2" t="s">
        <v>2657</v>
      </c>
    </row>
    <row r="20" spans="1:6">
      <c r="A20" s="154"/>
      <c r="B20" s="2" t="s">
        <v>2615</v>
      </c>
      <c r="C20" s="1" t="s">
        <v>2629</v>
      </c>
      <c r="D20" s="2" t="s">
        <v>2600</v>
      </c>
      <c r="E20" s="5"/>
      <c r="F20" s="2" t="s">
        <v>2658</v>
      </c>
    </row>
    <row r="21" spans="1:6">
      <c r="A21" s="154"/>
      <c r="B21" s="2" t="s">
        <v>2616</v>
      </c>
      <c r="C21" s="1" t="s">
        <v>2612</v>
      </c>
      <c r="D21" s="2" t="s">
        <v>2596</v>
      </c>
      <c r="E21" s="5"/>
      <c r="F21" s="2" t="s">
        <v>2659</v>
      </c>
    </row>
    <row r="22" spans="1:6">
      <c r="A22" s="154"/>
      <c r="B22" s="139" t="s">
        <v>152</v>
      </c>
      <c r="C22" s="1" t="s">
        <v>2631</v>
      </c>
      <c r="D22" s="139" t="s">
        <v>2599</v>
      </c>
      <c r="E22" s="139" t="s">
        <v>1715</v>
      </c>
      <c r="F22" s="139" t="s">
        <v>2660</v>
      </c>
    </row>
    <row r="23" spans="1:6">
      <c r="A23" s="154"/>
      <c r="B23" s="139"/>
      <c r="C23" s="1">
        <v>55</v>
      </c>
      <c r="D23" s="139"/>
      <c r="E23" s="139"/>
      <c r="F23" s="139"/>
    </row>
    <row r="24" spans="1:6">
      <c r="A24" s="154"/>
      <c r="B24" s="2" t="s">
        <v>2618</v>
      </c>
      <c r="C24" s="1" t="s">
        <v>2613</v>
      </c>
      <c r="D24" s="2" t="s">
        <v>2600</v>
      </c>
      <c r="E24" s="2" t="s">
        <v>1715</v>
      </c>
      <c r="F24" s="2" t="s">
        <v>2646</v>
      </c>
    </row>
    <row r="25" spans="1:6">
      <c r="A25" s="154"/>
      <c r="B25" s="2" t="s">
        <v>151</v>
      </c>
      <c r="C25" s="2" t="s">
        <v>1713</v>
      </c>
      <c r="D25" s="2" t="s">
        <v>2619</v>
      </c>
      <c r="E25" s="2" t="s">
        <v>1715</v>
      </c>
      <c r="F25" s="2" t="s">
        <v>2647</v>
      </c>
    </row>
    <row r="26" spans="1:6">
      <c r="A26" s="154"/>
      <c r="B26" s="2" t="s">
        <v>115</v>
      </c>
      <c r="C26" s="2" t="s">
        <v>1714</v>
      </c>
      <c r="D26" s="2" t="s">
        <v>2620</v>
      </c>
      <c r="E26" s="2" t="s">
        <v>1715</v>
      </c>
      <c r="F26" s="2" t="s">
        <v>2648</v>
      </c>
    </row>
    <row r="27" spans="1:6" ht="28.5">
      <c r="A27" s="154"/>
      <c r="B27" s="2" t="s">
        <v>3899</v>
      </c>
      <c r="C27" s="2" t="s">
        <v>1610</v>
      </c>
      <c r="D27" s="2" t="s">
        <v>2645</v>
      </c>
      <c r="E27" s="2" t="s">
        <v>2649</v>
      </c>
      <c r="F27" s="2" t="s">
        <v>2650</v>
      </c>
    </row>
    <row r="28" spans="1:6">
      <c r="A28" s="154"/>
      <c r="B28" s="2" t="s">
        <v>116</v>
      </c>
      <c r="C28" s="2" t="s">
        <v>2652</v>
      </c>
      <c r="D28" s="2" t="s">
        <v>2622</v>
      </c>
      <c r="E28" s="2" t="s">
        <v>1715</v>
      </c>
      <c r="F28" s="2" t="s">
        <v>2651</v>
      </c>
    </row>
    <row r="29" spans="1:6">
      <c r="A29" s="154"/>
      <c r="B29" s="139" t="s">
        <v>1608</v>
      </c>
      <c r="C29" s="2" t="s">
        <v>2621</v>
      </c>
      <c r="D29" s="139" t="s">
        <v>2601</v>
      </c>
      <c r="E29" s="139" t="s">
        <v>1609</v>
      </c>
      <c r="F29" s="139" t="s">
        <v>2653</v>
      </c>
    </row>
    <row r="30" spans="1:6">
      <c r="A30" s="154"/>
      <c r="B30" s="139"/>
      <c r="C30" s="2" t="s">
        <v>2630</v>
      </c>
      <c r="D30" s="139"/>
      <c r="E30" s="139"/>
      <c r="F30" s="139"/>
    </row>
    <row r="31" spans="1:6">
      <c r="A31" s="154"/>
      <c r="B31" s="2" t="s">
        <v>3888</v>
      </c>
      <c r="C31" s="2" t="s">
        <v>1716</v>
      </c>
      <c r="D31" s="2" t="s">
        <v>2623</v>
      </c>
      <c r="E31" s="2" t="s">
        <v>2662</v>
      </c>
      <c r="F31" s="2" t="s">
        <v>2661</v>
      </c>
    </row>
    <row r="32" spans="1:6">
      <c r="A32" s="154"/>
      <c r="B32" s="2" t="s">
        <v>3873</v>
      </c>
      <c r="C32" s="2" t="s">
        <v>1629</v>
      </c>
      <c r="D32" s="2" t="s">
        <v>2624</v>
      </c>
      <c r="E32" s="2" t="s">
        <v>1630</v>
      </c>
      <c r="F32" s="2" t="s">
        <v>2663</v>
      </c>
    </row>
    <row r="33" spans="1:6">
      <c r="A33" s="154"/>
      <c r="B33" s="139" t="s">
        <v>150</v>
      </c>
      <c r="C33" s="2" t="s">
        <v>1711</v>
      </c>
      <c r="D33" s="139" t="s">
        <v>2665</v>
      </c>
      <c r="E33" s="139" t="s">
        <v>1712</v>
      </c>
      <c r="F33" s="139" t="s">
        <v>2664</v>
      </c>
    </row>
    <row r="34" spans="1:6">
      <c r="A34" s="154"/>
      <c r="B34" s="139"/>
      <c r="C34" s="2">
        <v>52</v>
      </c>
      <c r="D34" s="139"/>
      <c r="E34" s="139"/>
      <c r="F34" s="139"/>
    </row>
    <row r="35" spans="1:6">
      <c r="A35" s="154"/>
      <c r="B35" s="2" t="s">
        <v>3911</v>
      </c>
      <c r="C35" s="2" t="s">
        <v>1611</v>
      </c>
      <c r="D35" s="2" t="s">
        <v>2625</v>
      </c>
      <c r="E35" s="2" t="s">
        <v>2666</v>
      </c>
      <c r="F35" s="2" t="s">
        <v>2667</v>
      </c>
    </row>
    <row r="36" spans="1:6">
      <c r="A36" s="154"/>
      <c r="B36" s="139" t="s">
        <v>3968</v>
      </c>
      <c r="C36" s="2" t="s">
        <v>2626</v>
      </c>
      <c r="D36" s="139" t="s">
        <v>2627</v>
      </c>
      <c r="E36" s="139" t="s">
        <v>3956</v>
      </c>
      <c r="F36" s="139" t="s">
        <v>2668</v>
      </c>
    </row>
    <row r="37" spans="1:6">
      <c r="A37" s="154"/>
      <c r="B37" s="139"/>
      <c r="C37" s="2">
        <v>52</v>
      </c>
      <c r="D37" s="139"/>
      <c r="E37" s="139"/>
      <c r="F37" s="139"/>
    </row>
    <row r="38" spans="1:6">
      <c r="A38" s="154"/>
      <c r="B38" s="139" t="s">
        <v>3967</v>
      </c>
      <c r="C38" s="2" t="s">
        <v>1612</v>
      </c>
      <c r="D38" s="139" t="s">
        <v>2599</v>
      </c>
      <c r="E38" s="139" t="s">
        <v>3956</v>
      </c>
      <c r="F38" s="139" t="s">
        <v>2669</v>
      </c>
    </row>
    <row r="39" spans="1:6">
      <c r="A39" s="154"/>
      <c r="B39" s="139"/>
      <c r="C39" s="2" t="s">
        <v>2628</v>
      </c>
      <c r="D39" s="139"/>
      <c r="E39" s="139"/>
      <c r="F39" s="139"/>
    </row>
    <row r="40" spans="1:6">
      <c r="A40" s="154"/>
      <c r="B40" s="139" t="s">
        <v>1613</v>
      </c>
      <c r="C40" s="2" t="s">
        <v>2670</v>
      </c>
      <c r="D40" s="139" t="s">
        <v>2672</v>
      </c>
      <c r="E40" s="139" t="s">
        <v>1718</v>
      </c>
      <c r="F40" s="139" t="s">
        <v>2671</v>
      </c>
    </row>
    <row r="41" spans="1:6">
      <c r="A41" s="154"/>
      <c r="B41" s="139"/>
      <c r="C41" s="2" t="s">
        <v>2594</v>
      </c>
      <c r="D41" s="139"/>
      <c r="E41" s="139"/>
      <c r="F41" s="139"/>
    </row>
    <row r="42" spans="1:6">
      <c r="A42" s="154"/>
      <c r="B42" s="139" t="s">
        <v>3764</v>
      </c>
      <c r="C42" s="2" t="s">
        <v>1615</v>
      </c>
      <c r="D42" s="139" t="s">
        <v>2674</v>
      </c>
      <c r="E42" s="139" t="s">
        <v>2675</v>
      </c>
      <c r="F42" s="139" t="s">
        <v>2673</v>
      </c>
    </row>
    <row r="43" spans="1:6">
      <c r="A43" s="154"/>
      <c r="B43" s="139"/>
      <c r="C43" s="2" t="s">
        <v>2594</v>
      </c>
      <c r="D43" s="139"/>
      <c r="E43" s="139"/>
      <c r="F43" s="139"/>
    </row>
    <row r="44" spans="1:6">
      <c r="A44" s="154"/>
      <c r="B44" s="2" t="s">
        <v>3937</v>
      </c>
      <c r="C44" s="2" t="s">
        <v>1631</v>
      </c>
      <c r="D44" s="2" t="s">
        <v>2676</v>
      </c>
      <c r="E44" s="2" t="s">
        <v>1717</v>
      </c>
      <c r="F44" s="2" t="s">
        <v>2682</v>
      </c>
    </row>
    <row r="45" spans="1:6">
      <c r="A45" s="154"/>
      <c r="B45" s="139" t="s">
        <v>2443</v>
      </c>
      <c r="C45" s="2" t="s">
        <v>2678</v>
      </c>
      <c r="D45" s="139" t="s">
        <v>2679</v>
      </c>
      <c r="E45" s="139" t="s">
        <v>2680</v>
      </c>
      <c r="F45" s="139" t="s">
        <v>2681</v>
      </c>
    </row>
    <row r="46" spans="1:6">
      <c r="A46" s="154"/>
      <c r="B46" s="139"/>
      <c r="C46" s="2" t="s">
        <v>1632</v>
      </c>
      <c r="D46" s="139"/>
      <c r="E46" s="139"/>
      <c r="F46" s="139"/>
    </row>
    <row r="47" spans="1:6" ht="28.5">
      <c r="A47" s="154"/>
      <c r="B47" s="2" t="s">
        <v>3749</v>
      </c>
      <c r="C47" s="2" t="s">
        <v>1633</v>
      </c>
      <c r="D47" s="2" t="s">
        <v>2596</v>
      </c>
      <c r="E47" s="2" t="s">
        <v>2677</v>
      </c>
      <c r="F47" s="2" t="s">
        <v>2683</v>
      </c>
    </row>
    <row r="48" spans="1:6" ht="28.5">
      <c r="A48" s="154"/>
      <c r="B48" s="2" t="s">
        <v>3745</v>
      </c>
      <c r="C48" s="2" t="s">
        <v>1634</v>
      </c>
      <c r="D48" s="2" t="s">
        <v>2686</v>
      </c>
      <c r="E48" s="2" t="s">
        <v>2684</v>
      </c>
      <c r="F48" s="2" t="s">
        <v>2693</v>
      </c>
    </row>
    <row r="49" spans="1:6" ht="28.5">
      <c r="A49" s="154"/>
      <c r="B49" s="2" t="s">
        <v>3940</v>
      </c>
      <c r="C49" s="2" t="s">
        <v>1635</v>
      </c>
      <c r="D49" s="2" t="s">
        <v>2689</v>
      </c>
      <c r="E49" s="2" t="s">
        <v>2688</v>
      </c>
      <c r="F49" s="2" t="s">
        <v>2687</v>
      </c>
    </row>
    <row r="50" spans="1:6" ht="42.75">
      <c r="A50" s="154"/>
      <c r="B50" s="2" t="s">
        <v>3739</v>
      </c>
      <c r="C50" s="2" t="s">
        <v>1636</v>
      </c>
      <c r="D50" s="2" t="s">
        <v>2692</v>
      </c>
      <c r="E50" s="2" t="s">
        <v>2691</v>
      </c>
      <c r="F50" s="2" t="s">
        <v>2690</v>
      </c>
    </row>
    <row r="52" spans="1:6" ht="28.5">
      <c r="A52" s="154" t="s">
        <v>507</v>
      </c>
      <c r="B52" s="2" t="s">
        <v>1637</v>
      </c>
      <c r="C52" s="2" t="s">
        <v>1638</v>
      </c>
      <c r="D52" s="2" t="s">
        <v>2696</v>
      </c>
      <c r="E52" s="2" t="s">
        <v>2695</v>
      </c>
      <c r="F52" s="2" t="s">
        <v>2694</v>
      </c>
    </row>
    <row r="53" spans="1:6" ht="28.5">
      <c r="A53" s="154"/>
      <c r="B53" s="2" t="s">
        <v>1719</v>
      </c>
      <c r="C53" s="2" t="s">
        <v>1732</v>
      </c>
      <c r="D53" s="2" t="s">
        <v>2696</v>
      </c>
      <c r="E53" s="2" t="s">
        <v>2695</v>
      </c>
      <c r="F53" s="2" t="s">
        <v>2697</v>
      </c>
    </row>
    <row r="54" spans="1:6" ht="28.5">
      <c r="A54" s="154"/>
      <c r="B54" s="2" t="s">
        <v>1720</v>
      </c>
      <c r="C54" s="2" t="s">
        <v>1733</v>
      </c>
      <c r="D54" s="2" t="s">
        <v>2689</v>
      </c>
      <c r="E54" s="2" t="s">
        <v>2698</v>
      </c>
      <c r="F54" s="2" t="s">
        <v>2699</v>
      </c>
    </row>
    <row r="55" spans="1:6" ht="28.5">
      <c r="A55" s="154"/>
      <c r="B55" s="2" t="s">
        <v>3969</v>
      </c>
      <c r="C55" s="2" t="s">
        <v>1639</v>
      </c>
      <c r="D55" s="2" t="s">
        <v>2686</v>
      </c>
      <c r="E55" s="2" t="s">
        <v>2701</v>
      </c>
      <c r="F55" s="2" t="s">
        <v>2700</v>
      </c>
    </row>
    <row r="56" spans="1:6">
      <c r="A56" s="154"/>
      <c r="B56" s="2" t="s">
        <v>3867</v>
      </c>
      <c r="C56" s="2" t="s">
        <v>1640</v>
      </c>
      <c r="D56" s="2" t="s">
        <v>2702</v>
      </c>
      <c r="E56" s="2" t="s">
        <v>2704</v>
      </c>
      <c r="F56" s="2" t="s">
        <v>2703</v>
      </c>
    </row>
    <row r="57" spans="1:6" ht="28.5">
      <c r="A57" s="154"/>
      <c r="B57" s="2" t="s">
        <v>3874</v>
      </c>
      <c r="C57" s="2" t="s">
        <v>1641</v>
      </c>
      <c r="D57" s="2" t="s">
        <v>2645</v>
      </c>
      <c r="E57" s="2" t="s">
        <v>2706</v>
      </c>
      <c r="F57" s="2" t="s">
        <v>2705</v>
      </c>
    </row>
    <row r="58" spans="1:6">
      <c r="A58" s="154"/>
      <c r="B58" s="2" t="s">
        <v>1721</v>
      </c>
      <c r="C58" s="2" t="s">
        <v>1734</v>
      </c>
      <c r="D58" s="2" t="s">
        <v>2598</v>
      </c>
      <c r="E58" s="2" t="s">
        <v>2708</v>
      </c>
      <c r="F58" s="2" t="s">
        <v>2707</v>
      </c>
    </row>
    <row r="59" spans="1:6">
      <c r="A59" s="154"/>
      <c r="B59" s="2" t="s">
        <v>1722</v>
      </c>
      <c r="C59" s="2" t="s">
        <v>2924</v>
      </c>
      <c r="D59" s="2" t="s">
        <v>2689</v>
      </c>
      <c r="E59" s="2" t="s">
        <v>2710</v>
      </c>
      <c r="F59" s="2" t="s">
        <v>2709</v>
      </c>
    </row>
    <row r="60" spans="1:6" ht="28.5">
      <c r="A60" s="154"/>
      <c r="B60" s="2" t="s">
        <v>1723</v>
      </c>
      <c r="C60" s="2" t="s">
        <v>1740</v>
      </c>
      <c r="D60" s="2" t="s">
        <v>2712</v>
      </c>
      <c r="E60" s="2" t="s">
        <v>2711</v>
      </c>
      <c r="F60" s="2" t="s">
        <v>2713</v>
      </c>
    </row>
    <row r="61" spans="1:6">
      <c r="A61" s="154"/>
      <c r="B61" s="2" t="s">
        <v>1724</v>
      </c>
      <c r="C61" s="2" t="s">
        <v>2920</v>
      </c>
      <c r="D61" s="2" t="s">
        <v>2702</v>
      </c>
      <c r="E61" s="2" t="s">
        <v>2715</v>
      </c>
      <c r="F61" s="2" t="s">
        <v>2714</v>
      </c>
    </row>
    <row r="62" spans="1:6" ht="28.5">
      <c r="A62" s="154"/>
      <c r="B62" s="2" t="s">
        <v>149</v>
      </c>
      <c r="C62" s="2" t="s">
        <v>1642</v>
      </c>
      <c r="D62" s="2" t="s">
        <v>2603</v>
      </c>
      <c r="E62" s="2" t="s">
        <v>2716</v>
      </c>
      <c r="F62" s="2" t="s">
        <v>2717</v>
      </c>
    </row>
    <row r="63" spans="1:6">
      <c r="A63" s="154"/>
      <c r="B63" s="2" t="s">
        <v>1725</v>
      </c>
      <c r="C63" s="1" t="s">
        <v>2921</v>
      </c>
      <c r="D63" s="2" t="s">
        <v>2686</v>
      </c>
      <c r="E63" s="2" t="s">
        <v>2718</v>
      </c>
      <c r="F63" s="2" t="s">
        <v>2719</v>
      </c>
    </row>
    <row r="64" spans="1:6">
      <c r="A64" s="154"/>
      <c r="B64" s="2" t="s">
        <v>1726</v>
      </c>
      <c r="C64" s="1" t="s">
        <v>2922</v>
      </c>
      <c r="D64" s="2" t="s">
        <v>2598</v>
      </c>
      <c r="E64" s="2" t="s">
        <v>2721</v>
      </c>
      <c r="F64" s="2" t="s">
        <v>2720</v>
      </c>
    </row>
    <row r="65" spans="1:6" ht="28.5">
      <c r="A65" s="154"/>
      <c r="B65" s="2" t="s">
        <v>1727</v>
      </c>
      <c r="C65" s="2" t="s">
        <v>2923</v>
      </c>
      <c r="D65" s="2" t="s">
        <v>2702</v>
      </c>
      <c r="E65" s="2" t="s">
        <v>2722</v>
      </c>
      <c r="F65" s="2" t="s">
        <v>2723</v>
      </c>
    </row>
    <row r="66" spans="1:6" ht="28.5">
      <c r="A66" s="154"/>
      <c r="B66" s="2" t="s">
        <v>1728</v>
      </c>
      <c r="C66" s="2" t="s">
        <v>1747</v>
      </c>
      <c r="D66" s="2" t="s">
        <v>2603</v>
      </c>
      <c r="E66" s="2" t="s">
        <v>2725</v>
      </c>
      <c r="F66" s="2" t="s">
        <v>2724</v>
      </c>
    </row>
    <row r="67" spans="1:6">
      <c r="A67" s="154"/>
      <c r="B67" s="2" t="s">
        <v>1729</v>
      </c>
      <c r="C67" s="1" t="s">
        <v>1741</v>
      </c>
      <c r="D67" s="2" t="s">
        <v>2728</v>
      </c>
      <c r="E67" s="2" t="s">
        <v>2727</v>
      </c>
      <c r="F67" s="2" t="s">
        <v>2726</v>
      </c>
    </row>
    <row r="68" spans="1:6">
      <c r="A68" s="154"/>
      <c r="B68" s="2" t="s">
        <v>1730</v>
      </c>
      <c r="C68" s="1" t="s">
        <v>1742</v>
      </c>
      <c r="D68" s="2" t="s">
        <v>2689</v>
      </c>
      <c r="E68" s="2" t="s">
        <v>1746</v>
      </c>
      <c r="F68" s="2" t="s">
        <v>2729</v>
      </c>
    </row>
    <row r="69" spans="1:6">
      <c r="A69" s="154"/>
      <c r="B69" s="2" t="s">
        <v>1731</v>
      </c>
      <c r="C69" s="1" t="s">
        <v>1742</v>
      </c>
      <c r="D69" s="2" t="s">
        <v>2732</v>
      </c>
      <c r="E69" s="2" t="s">
        <v>2731</v>
      </c>
      <c r="F69" s="2" t="s">
        <v>2730</v>
      </c>
    </row>
    <row r="70" spans="1:6">
      <c r="A70" s="154"/>
      <c r="B70" s="2" t="s">
        <v>1735</v>
      </c>
      <c r="C70" s="1" t="s">
        <v>1743</v>
      </c>
      <c r="D70" s="2" t="s">
        <v>2752</v>
      </c>
      <c r="E70" s="2" t="s">
        <v>2733</v>
      </c>
      <c r="F70" s="2" t="s">
        <v>2751</v>
      </c>
    </row>
    <row r="71" spans="1:6" ht="28.5">
      <c r="A71" s="154"/>
      <c r="B71" s="2" t="s">
        <v>1736</v>
      </c>
      <c r="C71" s="1" t="s">
        <v>1743</v>
      </c>
      <c r="D71" s="2" t="s">
        <v>2754</v>
      </c>
      <c r="E71" s="2" t="s">
        <v>2296</v>
      </c>
      <c r="F71" s="2" t="s">
        <v>2753</v>
      </c>
    </row>
    <row r="72" spans="1:6">
      <c r="A72" s="154"/>
      <c r="B72" s="2" t="s">
        <v>1737</v>
      </c>
      <c r="C72" s="1" t="s">
        <v>1744</v>
      </c>
      <c r="D72" s="2" t="s">
        <v>2598</v>
      </c>
      <c r="E72" s="2" t="s">
        <v>2756</v>
      </c>
      <c r="F72" s="2" t="s">
        <v>2755</v>
      </c>
    </row>
    <row r="73" spans="1:6" ht="28.5">
      <c r="A73" s="154"/>
      <c r="B73" s="2" t="s">
        <v>1738</v>
      </c>
      <c r="C73" s="1" t="s">
        <v>1744</v>
      </c>
      <c r="D73" s="2" t="s">
        <v>2696</v>
      </c>
      <c r="E73" s="2" t="s">
        <v>2758</v>
      </c>
      <c r="F73" s="2" t="s">
        <v>2757</v>
      </c>
    </row>
    <row r="74" spans="1:6">
      <c r="A74" s="154"/>
      <c r="B74" s="2" t="s">
        <v>1739</v>
      </c>
      <c r="C74" s="1" t="s">
        <v>1745</v>
      </c>
      <c r="D74" s="2" t="s">
        <v>2732</v>
      </c>
      <c r="E74" s="2" t="s">
        <v>2295</v>
      </c>
      <c r="F74" s="2" t="s">
        <v>2759</v>
      </c>
    </row>
    <row r="76" spans="1:6">
      <c r="A76" s="154" t="s">
        <v>508</v>
      </c>
      <c r="B76" s="2" t="s">
        <v>3926</v>
      </c>
      <c r="C76" s="2" t="s">
        <v>1644</v>
      </c>
      <c r="D76" s="2" t="s">
        <v>2806</v>
      </c>
      <c r="E76" s="2" t="s">
        <v>1749</v>
      </c>
      <c r="F76" s="2" t="s">
        <v>2805</v>
      </c>
    </row>
    <row r="77" spans="1:6">
      <c r="A77" s="154"/>
      <c r="B77" s="2" t="s">
        <v>3830</v>
      </c>
      <c r="C77" s="2" t="s">
        <v>1612</v>
      </c>
      <c r="D77" s="2" t="s">
        <v>2808</v>
      </c>
      <c r="E77" s="2" t="s">
        <v>2801</v>
      </c>
      <c r="F77" s="2" t="s">
        <v>2807</v>
      </c>
    </row>
    <row r="78" spans="1:6" ht="28.5">
      <c r="A78" s="154"/>
      <c r="B78" s="2" t="s">
        <v>3772</v>
      </c>
      <c r="C78" s="2" t="s">
        <v>1614</v>
      </c>
      <c r="D78" s="2" t="s">
        <v>2810</v>
      </c>
      <c r="E78" s="2" t="s">
        <v>1750</v>
      </c>
      <c r="F78" s="2" t="s">
        <v>2809</v>
      </c>
    </row>
    <row r="79" spans="1:6" ht="28.5">
      <c r="A79" s="154"/>
      <c r="B79" s="2" t="s">
        <v>3765</v>
      </c>
      <c r="C79" s="2" t="s">
        <v>1615</v>
      </c>
      <c r="D79" s="2" t="s">
        <v>2812</v>
      </c>
      <c r="E79" s="2" t="s">
        <v>2802</v>
      </c>
      <c r="F79" s="2" t="s">
        <v>2811</v>
      </c>
    </row>
    <row r="80" spans="1:6" ht="28.5">
      <c r="A80" s="154"/>
      <c r="B80" s="2" t="s">
        <v>3758</v>
      </c>
      <c r="C80" s="2" t="s">
        <v>1699</v>
      </c>
      <c r="D80" s="2" t="s">
        <v>2814</v>
      </c>
      <c r="E80" s="2" t="s">
        <v>2800</v>
      </c>
      <c r="F80" s="2" t="s">
        <v>2813</v>
      </c>
    </row>
    <row r="81" spans="1:6">
      <c r="A81" s="154"/>
      <c r="B81" s="2" t="s">
        <v>3789</v>
      </c>
      <c r="C81" s="2" t="s">
        <v>1632</v>
      </c>
      <c r="D81" s="2" t="s">
        <v>2596</v>
      </c>
      <c r="E81" s="2" t="s">
        <v>2815</v>
      </c>
      <c r="F81" s="2" t="s">
        <v>2823</v>
      </c>
    </row>
    <row r="82" spans="1:6" ht="28.5">
      <c r="A82" s="154"/>
      <c r="B82" s="2" t="s">
        <v>1645</v>
      </c>
      <c r="C82" s="2" t="s">
        <v>2462</v>
      </c>
      <c r="D82" s="2" t="s">
        <v>2689</v>
      </c>
      <c r="E82" s="2" t="s">
        <v>2292</v>
      </c>
      <c r="F82" s="2" t="s">
        <v>2822</v>
      </c>
    </row>
    <row r="83" spans="1:6" ht="28.5">
      <c r="A83" s="154"/>
      <c r="B83" s="2" t="s">
        <v>1646</v>
      </c>
      <c r="C83" s="2" t="s">
        <v>2463</v>
      </c>
      <c r="D83" s="2" t="s">
        <v>2603</v>
      </c>
      <c r="E83" s="2" t="s">
        <v>2821</v>
      </c>
      <c r="F83" s="2" t="s">
        <v>2820</v>
      </c>
    </row>
    <row r="84" spans="1:6" ht="42.75">
      <c r="A84" s="154"/>
      <c r="B84" s="2" t="s">
        <v>3782</v>
      </c>
      <c r="C84" s="2" t="s">
        <v>2464</v>
      </c>
      <c r="D84" s="2" t="s">
        <v>2679</v>
      </c>
      <c r="E84" s="2" t="s">
        <v>2828</v>
      </c>
      <c r="F84" s="2" t="s">
        <v>2816</v>
      </c>
    </row>
    <row r="85" spans="1:6" ht="28.5">
      <c r="A85" s="154"/>
      <c r="B85" s="139" t="s">
        <v>2294</v>
      </c>
      <c r="C85" s="2" t="s">
        <v>1751</v>
      </c>
      <c r="D85" s="2" t="s">
        <v>2598</v>
      </c>
      <c r="E85" s="2" t="s">
        <v>2803</v>
      </c>
      <c r="F85" s="2" t="s">
        <v>2817</v>
      </c>
    </row>
    <row r="86" spans="1:6" ht="28.5">
      <c r="A86" s="154"/>
      <c r="B86" s="139"/>
      <c r="C86" s="2" t="s">
        <v>1752</v>
      </c>
      <c r="D86" s="2" t="s">
        <v>2819</v>
      </c>
      <c r="E86" s="2" t="s">
        <v>2804</v>
      </c>
      <c r="F86" s="2" t="s">
        <v>2818</v>
      </c>
    </row>
    <row r="88" spans="1:6">
      <c r="A88" s="154" t="s">
        <v>509</v>
      </c>
      <c r="B88" s="2" t="s">
        <v>1647</v>
      </c>
      <c r="C88" s="2" t="s">
        <v>2589</v>
      </c>
      <c r="D88" s="2" t="s">
        <v>2839</v>
      </c>
      <c r="E88" s="2" t="s">
        <v>2918</v>
      </c>
      <c r="F88" s="2" t="s">
        <v>2824</v>
      </c>
    </row>
    <row r="89" spans="1:6">
      <c r="A89" s="154"/>
      <c r="B89" s="2" t="s">
        <v>4037</v>
      </c>
      <c r="C89" s="2" t="s">
        <v>2591</v>
      </c>
      <c r="D89" s="2" t="s">
        <v>2840</v>
      </c>
      <c r="E89" s="2" t="s">
        <v>2795</v>
      </c>
      <c r="F89" s="2" t="s">
        <v>2825</v>
      </c>
    </row>
    <row r="90" spans="1:6">
      <c r="A90" s="154"/>
      <c r="B90" s="2" t="s">
        <v>4049</v>
      </c>
      <c r="C90" s="2" t="s">
        <v>2842</v>
      </c>
      <c r="D90" s="2" t="s">
        <v>2841</v>
      </c>
      <c r="E90" s="2" t="s">
        <v>2796</v>
      </c>
      <c r="F90" s="2" t="s">
        <v>2826</v>
      </c>
    </row>
    <row r="91" spans="1:6">
      <c r="A91" s="154"/>
      <c r="B91" s="2" t="s">
        <v>3759</v>
      </c>
      <c r="C91" s="2" t="s">
        <v>2843</v>
      </c>
      <c r="D91" s="2" t="s">
        <v>2603</v>
      </c>
      <c r="E91" s="2" t="s">
        <v>2797</v>
      </c>
      <c r="F91" s="2" t="s">
        <v>2827</v>
      </c>
    </row>
    <row r="92" spans="1:6">
      <c r="A92" s="154"/>
      <c r="B92" s="2" t="s">
        <v>1538</v>
      </c>
      <c r="C92" s="2" t="s">
        <v>2844</v>
      </c>
      <c r="D92" s="2" t="s">
        <v>2833</v>
      </c>
      <c r="E92" s="2" t="s">
        <v>2798</v>
      </c>
      <c r="F92" s="2" t="s">
        <v>2832</v>
      </c>
    </row>
    <row r="93" spans="1:6">
      <c r="A93" s="154"/>
      <c r="B93" s="2" t="s">
        <v>1540</v>
      </c>
      <c r="C93" s="2" t="s">
        <v>2845</v>
      </c>
      <c r="D93" s="2" t="s">
        <v>2833</v>
      </c>
      <c r="E93" s="2" t="s">
        <v>2919</v>
      </c>
      <c r="F93" s="2" t="s">
        <v>2835</v>
      </c>
    </row>
    <row r="94" spans="1:6">
      <c r="A94" s="154"/>
      <c r="B94" s="2" t="s">
        <v>1539</v>
      </c>
      <c r="C94" s="2" t="s">
        <v>2842</v>
      </c>
      <c r="D94" s="2" t="s">
        <v>2833</v>
      </c>
      <c r="E94" s="2" t="s">
        <v>2799</v>
      </c>
      <c r="F94" s="2" t="s">
        <v>2836</v>
      </c>
    </row>
    <row r="95" spans="1:6" ht="28.5">
      <c r="A95" s="154"/>
      <c r="B95" s="2" t="s">
        <v>1544</v>
      </c>
      <c r="C95" s="2" t="s">
        <v>2843</v>
      </c>
      <c r="D95" s="2" t="s">
        <v>2829</v>
      </c>
      <c r="E95" s="2" t="s">
        <v>2800</v>
      </c>
      <c r="F95" s="2" t="s">
        <v>2837</v>
      </c>
    </row>
    <row r="96" spans="1:6" ht="28.5">
      <c r="A96" s="154"/>
      <c r="B96" s="2" t="s">
        <v>1542</v>
      </c>
      <c r="C96" s="2" t="s">
        <v>2846</v>
      </c>
      <c r="D96" s="2" t="s">
        <v>2831</v>
      </c>
      <c r="E96" s="2" t="s">
        <v>2838</v>
      </c>
      <c r="F96" s="2" t="s">
        <v>2830</v>
      </c>
    </row>
    <row r="97" spans="1:6" ht="28.5">
      <c r="A97" s="154"/>
      <c r="B97" s="2" t="s">
        <v>1543</v>
      </c>
      <c r="C97" s="2" t="s">
        <v>2847</v>
      </c>
      <c r="D97" s="2" t="s">
        <v>2689</v>
      </c>
      <c r="E97" s="2" t="s">
        <v>2850</v>
      </c>
      <c r="F97" s="2" t="s">
        <v>2834</v>
      </c>
    </row>
    <row r="98" spans="1:6" ht="28.5">
      <c r="A98" s="154"/>
      <c r="B98" s="2" t="s">
        <v>1541</v>
      </c>
      <c r="C98" s="2" t="s">
        <v>2848</v>
      </c>
      <c r="D98" s="2" t="s">
        <v>2829</v>
      </c>
      <c r="E98" s="2" t="s">
        <v>2871</v>
      </c>
      <c r="F98" s="2" t="s">
        <v>2849</v>
      </c>
    </row>
    <row r="100" spans="1:6">
      <c r="A100" s="154" t="s">
        <v>510</v>
      </c>
      <c r="B100" s="2" t="s">
        <v>184</v>
      </c>
      <c r="C100" s="2" t="s">
        <v>1644</v>
      </c>
      <c r="D100" s="2" t="s">
        <v>2856</v>
      </c>
      <c r="E100" s="2" t="s">
        <v>1748</v>
      </c>
      <c r="F100" s="2" t="s">
        <v>2877</v>
      </c>
    </row>
    <row r="101" spans="1:6">
      <c r="A101" s="154"/>
      <c r="B101" s="2" t="s">
        <v>229</v>
      </c>
      <c r="C101" s="2" t="s">
        <v>1612</v>
      </c>
      <c r="D101" s="2" t="s">
        <v>2869</v>
      </c>
      <c r="E101" s="2" t="s">
        <v>2851</v>
      </c>
      <c r="F101" s="2" t="s">
        <v>2857</v>
      </c>
    </row>
    <row r="102" spans="1:6">
      <c r="A102" s="154"/>
      <c r="B102" s="2" t="s">
        <v>128</v>
      </c>
      <c r="C102" s="2" t="s">
        <v>1648</v>
      </c>
      <c r="D102" s="2" t="s">
        <v>2696</v>
      </c>
      <c r="E102" s="2" t="s">
        <v>2685</v>
      </c>
      <c r="F102" s="2" t="s">
        <v>2858</v>
      </c>
    </row>
    <row r="103" spans="1:6">
      <c r="A103" s="154"/>
      <c r="B103" s="2" t="s">
        <v>159</v>
      </c>
      <c r="C103" s="2" t="s">
        <v>1648</v>
      </c>
      <c r="D103" s="2" t="s">
        <v>2595</v>
      </c>
      <c r="E103" s="2" t="s">
        <v>2855</v>
      </c>
      <c r="F103" s="2" t="s">
        <v>2859</v>
      </c>
    </row>
    <row r="104" spans="1:6">
      <c r="A104" s="154"/>
      <c r="B104" s="2" t="s">
        <v>1595</v>
      </c>
      <c r="C104" s="2" t="s">
        <v>1649</v>
      </c>
      <c r="D104" s="2" t="s">
        <v>2602</v>
      </c>
      <c r="E104" s="2" t="s">
        <v>2852</v>
      </c>
      <c r="F104" s="2" t="s">
        <v>2860</v>
      </c>
    </row>
    <row r="105" spans="1:6">
      <c r="A105" s="154"/>
      <c r="B105" s="2" t="s">
        <v>1598</v>
      </c>
      <c r="C105" s="2" t="s">
        <v>1650</v>
      </c>
      <c r="D105" s="2" t="s">
        <v>2862</v>
      </c>
      <c r="E105" s="2" t="s">
        <v>1686</v>
      </c>
      <c r="F105" s="2" t="s">
        <v>2861</v>
      </c>
    </row>
    <row r="106" spans="1:6">
      <c r="A106" s="154"/>
      <c r="B106" s="2" t="s">
        <v>1600</v>
      </c>
      <c r="C106" s="2" t="s">
        <v>1687</v>
      </c>
      <c r="D106" s="2" t="s">
        <v>2870</v>
      </c>
      <c r="E106" s="2" t="s">
        <v>2853</v>
      </c>
      <c r="F106" s="2" t="s">
        <v>2863</v>
      </c>
    </row>
    <row r="107" spans="1:6">
      <c r="A107" s="154"/>
      <c r="B107" s="2" t="s">
        <v>1604</v>
      </c>
      <c r="C107" s="2" t="s">
        <v>1689</v>
      </c>
      <c r="D107" s="2" t="s">
        <v>2870</v>
      </c>
      <c r="E107" s="2" t="s">
        <v>1688</v>
      </c>
      <c r="F107" s="2" t="s">
        <v>2864</v>
      </c>
    </row>
    <row r="108" spans="1:6">
      <c r="A108" s="154"/>
      <c r="B108" s="2" t="s">
        <v>1680</v>
      </c>
      <c r="C108" s="2" t="s">
        <v>1690</v>
      </c>
      <c r="D108" s="2" t="s">
        <v>2868</v>
      </c>
      <c r="E108" s="2" t="s">
        <v>2854</v>
      </c>
      <c r="F108" s="2" t="s">
        <v>2865</v>
      </c>
    </row>
    <row r="109" spans="1:6">
      <c r="A109" s="154"/>
      <c r="B109" s="2" t="s">
        <v>1678</v>
      </c>
      <c r="C109" s="2" t="s">
        <v>1691</v>
      </c>
      <c r="D109" s="2" t="s">
        <v>2867</v>
      </c>
      <c r="E109" s="2" t="s">
        <v>1692</v>
      </c>
      <c r="F109" s="2" t="s">
        <v>2866</v>
      </c>
    </row>
    <row r="111" spans="1:6" ht="28.5">
      <c r="A111" s="154" t="s">
        <v>2239</v>
      </c>
      <c r="B111" s="2" t="s">
        <v>2435</v>
      </c>
      <c r="C111" s="2" t="s">
        <v>2565</v>
      </c>
      <c r="D111" s="2" t="s">
        <v>2876</v>
      </c>
      <c r="E111" s="2" t="s">
        <v>2872</v>
      </c>
      <c r="F111" s="2" t="s">
        <v>859</v>
      </c>
    </row>
    <row r="112" spans="1:6">
      <c r="A112" s="154"/>
      <c r="B112" s="2" t="s">
        <v>2563</v>
      </c>
      <c r="C112" s="2" t="s">
        <v>2564</v>
      </c>
      <c r="D112" s="2" t="s">
        <v>2532</v>
      </c>
      <c r="E112" s="2" t="s">
        <v>2580</v>
      </c>
      <c r="F112" s="2" t="s">
        <v>853</v>
      </c>
    </row>
    <row r="113" spans="1:6">
      <c r="A113" s="154"/>
      <c r="B113" s="2" t="s">
        <v>2290</v>
      </c>
      <c r="C113" s="2" t="s">
        <v>2565</v>
      </c>
      <c r="D113" s="2" t="s">
        <v>2689</v>
      </c>
      <c r="E113" s="2" t="s">
        <v>2530</v>
      </c>
      <c r="F113" s="2" t="s">
        <v>854</v>
      </c>
    </row>
    <row r="114" spans="1:6">
      <c r="A114" s="154"/>
      <c r="B114" s="2" t="s">
        <v>2572</v>
      </c>
      <c r="C114" s="2" t="s">
        <v>2567</v>
      </c>
      <c r="D114" s="2" t="s">
        <v>2533</v>
      </c>
      <c r="E114" s="2" t="s">
        <v>2583</v>
      </c>
      <c r="F114" s="2" t="s">
        <v>848</v>
      </c>
    </row>
    <row r="115" spans="1:6">
      <c r="A115" s="154"/>
      <c r="B115" s="2" t="s">
        <v>2573</v>
      </c>
      <c r="C115" s="2" t="s">
        <v>2569</v>
      </c>
      <c r="D115" s="2" t="s">
        <v>2603</v>
      </c>
      <c r="E115" s="2" t="s">
        <v>2584</v>
      </c>
      <c r="F115" s="2" t="s">
        <v>849</v>
      </c>
    </row>
    <row r="116" spans="1:6">
      <c r="A116" s="154"/>
      <c r="B116" s="2" t="s">
        <v>2574</v>
      </c>
      <c r="C116" s="2" t="s">
        <v>2571</v>
      </c>
      <c r="D116" s="2" t="s">
        <v>2878</v>
      </c>
      <c r="E116" s="2" t="s">
        <v>2875</v>
      </c>
      <c r="F116" s="2" t="s">
        <v>855</v>
      </c>
    </row>
    <row r="117" spans="1:6">
      <c r="A117" s="154"/>
      <c r="B117" s="2" t="s">
        <v>2575</v>
      </c>
      <c r="C117" s="2" t="s">
        <v>2576</v>
      </c>
      <c r="D117" s="2" t="s">
        <v>2868</v>
      </c>
      <c r="E117" s="2"/>
      <c r="F117" s="2" t="s">
        <v>856</v>
      </c>
    </row>
    <row r="118" spans="1:6">
      <c r="A118" s="154"/>
      <c r="B118" s="2" t="s">
        <v>2577</v>
      </c>
      <c r="C118" s="2" t="s">
        <v>2578</v>
      </c>
      <c r="D118" s="2" t="s">
        <v>2870</v>
      </c>
      <c r="E118" s="2" t="s">
        <v>2538</v>
      </c>
      <c r="F118" s="2" t="s">
        <v>857</v>
      </c>
    </row>
    <row r="119" spans="1:6" ht="28.5">
      <c r="A119" s="154"/>
      <c r="B119" s="2" t="s">
        <v>2562</v>
      </c>
      <c r="C119" s="2" t="s">
        <v>2565</v>
      </c>
      <c r="D119" s="2" t="s">
        <v>2869</v>
      </c>
      <c r="E119" s="2" t="s">
        <v>2873</v>
      </c>
      <c r="F119" s="2" t="s">
        <v>858</v>
      </c>
    </row>
    <row r="120" spans="1:6">
      <c r="A120" s="154"/>
      <c r="B120" s="2" t="s">
        <v>2566</v>
      </c>
      <c r="C120" s="2" t="s">
        <v>2567</v>
      </c>
      <c r="D120" s="2" t="s">
        <v>2833</v>
      </c>
      <c r="E120" s="2" t="s">
        <v>2581</v>
      </c>
      <c r="F120" s="2" t="s">
        <v>850</v>
      </c>
    </row>
    <row r="121" spans="1:6" ht="28.5">
      <c r="A121" s="154"/>
      <c r="B121" s="2" t="s">
        <v>2568</v>
      </c>
      <c r="C121" s="2" t="s">
        <v>2569</v>
      </c>
      <c r="D121" s="2" t="s">
        <v>2879</v>
      </c>
      <c r="E121" s="2" t="s">
        <v>2582</v>
      </c>
      <c r="F121" s="2" t="s">
        <v>851</v>
      </c>
    </row>
    <row r="122" spans="1:6" ht="28.5">
      <c r="A122" s="154"/>
      <c r="B122" s="2" t="s">
        <v>2570</v>
      </c>
      <c r="C122" s="2" t="s">
        <v>2571</v>
      </c>
      <c r="D122" s="2" t="s">
        <v>2879</v>
      </c>
      <c r="E122" s="2" t="s">
        <v>2874</v>
      </c>
      <c r="F122" s="2" t="s">
        <v>852</v>
      </c>
    </row>
    <row r="124" spans="1:6">
      <c r="A124" s="154" t="s">
        <v>201</v>
      </c>
      <c r="B124" s="2" t="s">
        <v>2745</v>
      </c>
      <c r="C124" s="2"/>
      <c r="D124" s="2"/>
      <c r="E124" s="143" t="s">
        <v>2486</v>
      </c>
      <c r="F124" s="63"/>
    </row>
    <row r="125" spans="1:6">
      <c r="A125" s="154"/>
      <c r="B125" s="2" t="s">
        <v>2746</v>
      </c>
      <c r="C125" s="2"/>
      <c r="D125" s="2"/>
      <c r="E125" s="145"/>
      <c r="F125" s="63"/>
    </row>
    <row r="126" spans="1:6">
      <c r="A126" s="154"/>
      <c r="B126" s="2" t="s">
        <v>2747</v>
      </c>
      <c r="C126" s="2"/>
      <c r="D126" s="2"/>
      <c r="E126" s="145"/>
      <c r="F126" s="63"/>
    </row>
    <row r="127" spans="1:6">
      <c r="A127" s="154"/>
      <c r="B127" s="2" t="s">
        <v>2748</v>
      </c>
      <c r="C127" s="2"/>
      <c r="D127" s="2"/>
      <c r="E127" s="145"/>
      <c r="F127" s="63"/>
    </row>
    <row r="128" spans="1:6">
      <c r="A128" s="154"/>
      <c r="B128" s="2" t="s">
        <v>2749</v>
      </c>
      <c r="C128" s="2"/>
      <c r="D128" s="2"/>
      <c r="E128" s="145"/>
      <c r="F128" s="63"/>
    </row>
    <row r="129" spans="1:6">
      <c r="A129" s="154"/>
      <c r="B129" s="2" t="s">
        <v>2750</v>
      </c>
      <c r="C129" s="2"/>
      <c r="D129" s="2"/>
      <c r="E129" s="144"/>
      <c r="F129" s="63"/>
    </row>
  </sheetData>
  <mergeCells count="43">
    <mergeCell ref="E36:E37"/>
    <mergeCell ref="D36:D37"/>
    <mergeCell ref="B33:B34"/>
    <mergeCell ref="B85:B86"/>
    <mergeCell ref="A76:A86"/>
    <mergeCell ref="B45:B46"/>
    <mergeCell ref="B38:B39"/>
    <mergeCell ref="B42:B43"/>
    <mergeCell ref="B40:B41"/>
    <mergeCell ref="A100:A109"/>
    <mergeCell ref="A111:A122"/>
    <mergeCell ref="A15:A50"/>
    <mergeCell ref="A52:A74"/>
    <mergeCell ref="A88:A98"/>
    <mergeCell ref="F36:F37"/>
    <mergeCell ref="E38:E39"/>
    <mergeCell ref="D38:D39"/>
    <mergeCell ref="F38:F39"/>
    <mergeCell ref="A124:A129"/>
    <mergeCell ref="B36:B37"/>
    <mergeCell ref="F45:F46"/>
    <mergeCell ref="E45:E46"/>
    <mergeCell ref="F40:F41"/>
    <mergeCell ref="D40:D41"/>
    <mergeCell ref="F42:F43"/>
    <mergeCell ref="D42:D43"/>
    <mergeCell ref="E42:E43"/>
    <mergeCell ref="E40:E41"/>
    <mergeCell ref="E124:E129"/>
    <mergeCell ref="D45:D46"/>
    <mergeCell ref="A1:F1"/>
    <mergeCell ref="A3:A13"/>
    <mergeCell ref="D29:D30"/>
    <mergeCell ref="B29:B30"/>
    <mergeCell ref="E29:E30"/>
    <mergeCell ref="D22:D23"/>
    <mergeCell ref="E22:E23"/>
    <mergeCell ref="B22:B23"/>
    <mergeCell ref="E33:E34"/>
    <mergeCell ref="F22:F23"/>
    <mergeCell ref="F29:F30"/>
    <mergeCell ref="D33:D34"/>
    <mergeCell ref="F33:F3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33"/>
  <sheetViews>
    <sheetView workbookViewId="0">
      <pane ySplit="1" topLeftCell="A99" activePane="bottomLeft" state="frozen"/>
      <selection pane="bottomLeft" activeCell="E107" sqref="E107:E110"/>
    </sheetView>
  </sheetViews>
  <sheetFormatPr defaultRowHeight="14.25"/>
  <cols>
    <col min="1" max="1" width="10.375" style="61" customWidth="1"/>
    <col min="2" max="2" width="4.125" style="61" bestFit="1" customWidth="1"/>
    <col min="3" max="3" width="18.625" style="61" customWidth="1"/>
    <col min="4" max="4" width="3.25" style="61" bestFit="1" customWidth="1"/>
    <col min="5" max="5" width="10.375" style="61" bestFit="1" customWidth="1"/>
    <col min="6" max="6" width="4.125" style="61" bestFit="1" customWidth="1"/>
    <col min="7" max="7" width="18.625" style="61" customWidth="1"/>
    <col min="8" max="8" width="3.25" style="61" bestFit="1" customWidth="1"/>
    <col min="9" max="9" width="10.375" style="61" customWidth="1"/>
    <col min="10" max="10" width="4.125" style="61" bestFit="1" customWidth="1"/>
    <col min="11" max="11" width="18.625" style="61" customWidth="1"/>
    <col min="12" max="12" width="3.25" style="61" bestFit="1" customWidth="1"/>
    <col min="13" max="16384" width="9" style="61"/>
  </cols>
  <sheetData>
    <row r="1" spans="1:12" ht="33">
      <c r="A1" s="158" t="s">
        <v>512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2" ht="20.25">
      <c r="A2" s="156" t="s">
        <v>4076</v>
      </c>
      <c r="B2" s="156"/>
      <c r="C2" s="156"/>
      <c r="D2" s="156"/>
      <c r="E2" s="156" t="s">
        <v>261</v>
      </c>
      <c r="F2" s="156"/>
      <c r="G2" s="156"/>
      <c r="H2" s="156"/>
      <c r="I2" s="156" t="s">
        <v>295</v>
      </c>
      <c r="J2" s="156"/>
      <c r="K2" s="156"/>
      <c r="L2" s="156"/>
    </row>
    <row r="3" spans="1:12">
      <c r="A3" s="155" t="s">
        <v>118</v>
      </c>
      <c r="B3" s="155">
        <v>1</v>
      </c>
      <c r="C3" s="4" t="s">
        <v>153</v>
      </c>
      <c r="D3" s="155" t="s">
        <v>1771</v>
      </c>
      <c r="E3" s="155" t="s">
        <v>163</v>
      </c>
      <c r="F3" s="155">
        <v>1</v>
      </c>
      <c r="G3" s="4" t="s">
        <v>114</v>
      </c>
      <c r="H3" s="155" t="s">
        <v>1771</v>
      </c>
      <c r="I3" s="139" t="s">
        <v>282</v>
      </c>
      <c r="J3" s="139">
        <v>1</v>
      </c>
      <c r="K3" s="2" t="s">
        <v>153</v>
      </c>
      <c r="L3" s="139"/>
    </row>
    <row r="4" spans="1:12">
      <c r="A4" s="155"/>
      <c r="B4" s="155"/>
      <c r="C4" s="4" t="s">
        <v>138</v>
      </c>
      <c r="D4" s="155"/>
      <c r="E4" s="155"/>
      <c r="F4" s="155"/>
      <c r="G4" s="4" t="s">
        <v>156</v>
      </c>
      <c r="H4" s="155"/>
      <c r="I4" s="139"/>
      <c r="J4" s="139"/>
      <c r="K4" s="2" t="s">
        <v>138</v>
      </c>
      <c r="L4" s="139"/>
    </row>
    <row r="5" spans="1:12">
      <c r="A5" s="155" t="s">
        <v>119</v>
      </c>
      <c r="B5" s="155">
        <v>5</v>
      </c>
      <c r="C5" s="4" t="s">
        <v>153</v>
      </c>
      <c r="D5" s="155" t="s">
        <v>1771</v>
      </c>
      <c r="E5" s="155"/>
      <c r="F5" s="155"/>
      <c r="G5" s="4" t="s">
        <v>157</v>
      </c>
      <c r="H5" s="155"/>
      <c r="I5" s="139"/>
      <c r="J5" s="139"/>
      <c r="K5" s="2" t="s">
        <v>254</v>
      </c>
      <c r="L5" s="139"/>
    </row>
    <row r="6" spans="1:12">
      <c r="A6" s="155"/>
      <c r="B6" s="155"/>
      <c r="C6" s="4" t="s">
        <v>138</v>
      </c>
      <c r="D6" s="155"/>
      <c r="E6" s="155" t="s">
        <v>164</v>
      </c>
      <c r="F6" s="155">
        <v>5</v>
      </c>
      <c r="G6" s="4" t="s">
        <v>114</v>
      </c>
      <c r="H6" s="155" t="s">
        <v>1771</v>
      </c>
      <c r="I6" s="139"/>
      <c r="J6" s="139"/>
      <c r="K6" s="2" t="s">
        <v>167</v>
      </c>
      <c r="L6" s="139"/>
    </row>
    <row r="7" spans="1:12">
      <c r="A7" s="155" t="s">
        <v>120</v>
      </c>
      <c r="B7" s="155">
        <v>10</v>
      </c>
      <c r="C7" s="4" t="s">
        <v>153</v>
      </c>
      <c r="D7" s="155" t="s">
        <v>1771</v>
      </c>
      <c r="E7" s="155"/>
      <c r="F7" s="155"/>
      <c r="G7" s="4" t="s">
        <v>157</v>
      </c>
      <c r="H7" s="155"/>
      <c r="I7" s="139" t="s">
        <v>283</v>
      </c>
      <c r="J7" s="139">
        <v>10</v>
      </c>
      <c r="K7" s="2" t="s">
        <v>153</v>
      </c>
      <c r="L7" s="139"/>
    </row>
    <row r="8" spans="1:12">
      <c r="A8" s="155"/>
      <c r="B8" s="155"/>
      <c r="C8" s="4" t="s">
        <v>138</v>
      </c>
      <c r="D8" s="155"/>
      <c r="E8" s="155"/>
      <c r="F8" s="155"/>
      <c r="G8" s="4" t="s">
        <v>158</v>
      </c>
      <c r="H8" s="155"/>
      <c r="I8" s="139"/>
      <c r="J8" s="139"/>
      <c r="K8" s="2" t="s">
        <v>138</v>
      </c>
      <c r="L8" s="139"/>
    </row>
    <row r="9" spans="1:12">
      <c r="A9" s="155"/>
      <c r="B9" s="155"/>
      <c r="C9" s="4" t="s">
        <v>3926</v>
      </c>
      <c r="D9" s="155"/>
      <c r="E9" s="155" t="s">
        <v>165</v>
      </c>
      <c r="F9" s="155">
        <v>10</v>
      </c>
      <c r="G9" s="4" t="s">
        <v>114</v>
      </c>
      <c r="H9" s="155" t="s">
        <v>1771</v>
      </c>
      <c r="I9" s="139"/>
      <c r="J9" s="139"/>
      <c r="K9" s="2" t="s">
        <v>154</v>
      </c>
      <c r="L9" s="139"/>
    </row>
    <row r="10" spans="1:12">
      <c r="A10" s="155" t="s">
        <v>121</v>
      </c>
      <c r="B10" s="155">
        <v>20</v>
      </c>
      <c r="C10" s="4" t="s">
        <v>154</v>
      </c>
      <c r="D10" s="155">
        <v>6</v>
      </c>
      <c r="E10" s="155"/>
      <c r="F10" s="155"/>
      <c r="G10" s="4" t="s">
        <v>157</v>
      </c>
      <c r="H10" s="155"/>
      <c r="I10" s="139"/>
      <c r="J10" s="139"/>
      <c r="K10" s="2" t="s">
        <v>3926</v>
      </c>
      <c r="L10" s="139"/>
    </row>
    <row r="11" spans="1:12">
      <c r="A11" s="155"/>
      <c r="B11" s="155"/>
      <c r="C11" s="4" t="s">
        <v>155</v>
      </c>
      <c r="D11" s="155"/>
      <c r="E11" s="155"/>
      <c r="F11" s="155"/>
      <c r="G11" s="4" t="s">
        <v>158</v>
      </c>
      <c r="H11" s="155"/>
      <c r="I11" s="139" t="s">
        <v>284</v>
      </c>
      <c r="J11" s="139">
        <v>20</v>
      </c>
      <c r="K11" s="2" t="s">
        <v>188</v>
      </c>
      <c r="L11" s="139">
        <v>5</v>
      </c>
    </row>
    <row r="12" spans="1:12">
      <c r="A12" s="155"/>
      <c r="B12" s="155"/>
      <c r="C12" s="4" t="s">
        <v>122</v>
      </c>
      <c r="D12" s="155"/>
      <c r="E12" s="155" t="s">
        <v>166</v>
      </c>
      <c r="F12" s="155">
        <v>15</v>
      </c>
      <c r="G12" s="4" t="s">
        <v>167</v>
      </c>
      <c r="H12" s="155" t="s">
        <v>1771</v>
      </c>
      <c r="I12" s="139"/>
      <c r="J12" s="139"/>
      <c r="K12" s="2" t="s">
        <v>183</v>
      </c>
      <c r="L12" s="139"/>
    </row>
    <row r="13" spans="1:12">
      <c r="A13" s="155"/>
      <c r="B13" s="155"/>
      <c r="C13" s="4" t="s">
        <v>3926</v>
      </c>
      <c r="D13" s="155"/>
      <c r="E13" s="155"/>
      <c r="F13" s="155"/>
      <c r="G13" s="4" t="s">
        <v>157</v>
      </c>
      <c r="H13" s="155"/>
      <c r="I13" s="139"/>
      <c r="J13" s="139"/>
      <c r="K13" s="2" t="s">
        <v>1772</v>
      </c>
      <c r="L13" s="139"/>
    </row>
    <row r="14" spans="1:12">
      <c r="A14" s="155" t="s">
        <v>123</v>
      </c>
      <c r="B14" s="155">
        <v>30</v>
      </c>
      <c r="C14" s="4" t="s">
        <v>139</v>
      </c>
      <c r="D14" s="155">
        <v>9</v>
      </c>
      <c r="E14" s="155" t="s">
        <v>168</v>
      </c>
      <c r="F14" s="155">
        <v>20</v>
      </c>
      <c r="G14" s="4" t="s">
        <v>139</v>
      </c>
      <c r="H14" s="155" t="s">
        <v>1771</v>
      </c>
      <c r="I14" s="139"/>
      <c r="J14" s="139"/>
      <c r="K14" s="2" t="s">
        <v>278</v>
      </c>
      <c r="L14" s="139"/>
    </row>
    <row r="15" spans="1:12">
      <c r="A15" s="155"/>
      <c r="B15" s="155"/>
      <c r="C15" s="4" t="s">
        <v>155</v>
      </c>
      <c r="D15" s="155"/>
      <c r="E15" s="155"/>
      <c r="F15" s="155"/>
      <c r="G15" s="4" t="s">
        <v>157</v>
      </c>
      <c r="H15" s="155"/>
      <c r="I15" s="139"/>
      <c r="J15" s="139"/>
      <c r="K15" s="2" t="s">
        <v>3926</v>
      </c>
      <c r="L15" s="139"/>
    </row>
    <row r="16" spans="1:12">
      <c r="A16" s="155"/>
      <c r="B16" s="155"/>
      <c r="C16" s="4" t="s">
        <v>122</v>
      </c>
      <c r="D16" s="155"/>
      <c r="E16" s="155" t="s">
        <v>169</v>
      </c>
      <c r="F16" s="155">
        <v>30</v>
      </c>
      <c r="G16" s="4" t="s">
        <v>125</v>
      </c>
      <c r="H16" s="155" t="s">
        <v>1771</v>
      </c>
      <c r="I16" s="139" t="s">
        <v>285</v>
      </c>
      <c r="J16" s="139">
        <v>30</v>
      </c>
      <c r="K16" s="2" t="s">
        <v>105</v>
      </c>
      <c r="L16" s="139">
        <v>8</v>
      </c>
    </row>
    <row r="17" spans="1:12">
      <c r="A17" s="155"/>
      <c r="B17" s="155"/>
      <c r="C17" s="4" t="s">
        <v>3926</v>
      </c>
      <c r="D17" s="155"/>
      <c r="E17" s="155"/>
      <c r="F17" s="155"/>
      <c r="G17" s="4" t="s">
        <v>157</v>
      </c>
      <c r="H17" s="155"/>
      <c r="I17" s="139"/>
      <c r="J17" s="139"/>
      <c r="K17" s="2" t="s">
        <v>279</v>
      </c>
      <c r="L17" s="139"/>
    </row>
    <row r="18" spans="1:12">
      <c r="A18" s="155" t="s">
        <v>124</v>
      </c>
      <c r="B18" s="155">
        <v>40</v>
      </c>
      <c r="C18" s="4" t="s">
        <v>125</v>
      </c>
      <c r="D18" s="155">
        <v>12</v>
      </c>
      <c r="E18" s="155" t="s">
        <v>170</v>
      </c>
      <c r="F18" s="155">
        <v>40</v>
      </c>
      <c r="G18" s="4" t="s">
        <v>3987</v>
      </c>
      <c r="H18" s="155">
        <v>12</v>
      </c>
      <c r="I18" s="139"/>
      <c r="J18" s="139"/>
      <c r="K18" s="2" t="s">
        <v>125</v>
      </c>
      <c r="L18" s="139"/>
    </row>
    <row r="19" spans="1:12">
      <c r="A19" s="155"/>
      <c r="B19" s="155"/>
      <c r="C19" s="4" t="s">
        <v>122</v>
      </c>
      <c r="D19" s="155"/>
      <c r="E19" s="155"/>
      <c r="F19" s="155"/>
      <c r="G19" s="4" t="s">
        <v>158</v>
      </c>
      <c r="H19" s="155"/>
      <c r="I19" s="139"/>
      <c r="J19" s="139"/>
      <c r="K19" s="2" t="s">
        <v>188</v>
      </c>
      <c r="L19" s="139"/>
    </row>
    <row r="20" spans="1:12">
      <c r="A20" s="155" t="s">
        <v>126</v>
      </c>
      <c r="B20" s="155">
        <v>50</v>
      </c>
      <c r="C20" s="4" t="s">
        <v>127</v>
      </c>
      <c r="D20" s="155">
        <v>15</v>
      </c>
      <c r="E20" s="155" t="s">
        <v>171</v>
      </c>
      <c r="F20" s="155">
        <v>50</v>
      </c>
      <c r="G20" s="4" t="s">
        <v>3987</v>
      </c>
      <c r="H20" s="155">
        <v>15</v>
      </c>
      <c r="I20" s="139"/>
      <c r="J20" s="139"/>
      <c r="K20" s="2" t="s">
        <v>278</v>
      </c>
      <c r="L20" s="139"/>
    </row>
    <row r="21" spans="1:12">
      <c r="A21" s="155"/>
      <c r="B21" s="155"/>
      <c r="C21" s="4" t="s">
        <v>122</v>
      </c>
      <c r="D21" s="155"/>
      <c r="E21" s="155"/>
      <c r="F21" s="155"/>
      <c r="G21" s="4" t="s">
        <v>158</v>
      </c>
      <c r="H21" s="155"/>
      <c r="I21" s="139"/>
      <c r="J21" s="139"/>
      <c r="K21" s="2" t="s">
        <v>3926</v>
      </c>
      <c r="L21" s="139"/>
    </row>
    <row r="22" spans="1:12">
      <c r="A22" s="155"/>
      <c r="B22" s="155"/>
      <c r="C22" s="4" t="s">
        <v>128</v>
      </c>
      <c r="D22" s="155"/>
      <c r="E22" s="155"/>
      <c r="F22" s="155"/>
      <c r="G22" s="4" t="s">
        <v>159</v>
      </c>
      <c r="H22" s="155"/>
      <c r="I22" s="139" t="s">
        <v>286</v>
      </c>
      <c r="J22" s="139">
        <v>40</v>
      </c>
      <c r="K22" s="2" t="s">
        <v>254</v>
      </c>
      <c r="L22" s="139">
        <v>11</v>
      </c>
    </row>
    <row r="23" spans="1:12">
      <c r="A23" s="155" t="s">
        <v>129</v>
      </c>
      <c r="B23" s="155">
        <v>60</v>
      </c>
      <c r="C23" s="4" t="s">
        <v>3892</v>
      </c>
      <c r="D23" s="155">
        <v>18</v>
      </c>
      <c r="E23" s="155" t="s">
        <v>172</v>
      </c>
      <c r="F23" s="155">
        <v>60</v>
      </c>
      <c r="G23" s="4" t="s">
        <v>3878</v>
      </c>
      <c r="H23" s="155">
        <v>18</v>
      </c>
      <c r="I23" s="139"/>
      <c r="J23" s="139"/>
      <c r="K23" s="2" t="s">
        <v>251</v>
      </c>
      <c r="L23" s="139"/>
    </row>
    <row r="24" spans="1:12">
      <c r="A24" s="155"/>
      <c r="B24" s="155"/>
      <c r="C24" s="4" t="s">
        <v>128</v>
      </c>
      <c r="D24" s="155"/>
      <c r="E24" s="155"/>
      <c r="F24" s="155"/>
      <c r="G24" s="4" t="s">
        <v>158</v>
      </c>
      <c r="H24" s="155"/>
      <c r="I24" s="139"/>
      <c r="J24" s="139"/>
      <c r="K24" s="2" t="s">
        <v>278</v>
      </c>
      <c r="L24" s="139"/>
    </row>
    <row r="25" spans="1:12">
      <c r="A25" s="155" t="s">
        <v>130</v>
      </c>
      <c r="B25" s="155">
        <v>70</v>
      </c>
      <c r="C25" s="4" t="s">
        <v>131</v>
      </c>
      <c r="D25" s="155">
        <v>21</v>
      </c>
      <c r="E25" s="155"/>
      <c r="F25" s="155"/>
      <c r="G25" s="4" t="s">
        <v>160</v>
      </c>
      <c r="H25" s="155"/>
      <c r="I25" s="139"/>
      <c r="J25" s="139"/>
      <c r="K25" s="2" t="s">
        <v>3765</v>
      </c>
      <c r="L25" s="139"/>
    </row>
    <row r="26" spans="1:12">
      <c r="A26" s="155"/>
      <c r="B26" s="155"/>
      <c r="C26" s="4" t="s">
        <v>122</v>
      </c>
      <c r="D26" s="155"/>
      <c r="E26" s="155"/>
      <c r="F26" s="155"/>
      <c r="G26" s="4" t="s">
        <v>159</v>
      </c>
      <c r="H26" s="155"/>
      <c r="I26" s="139" t="s">
        <v>287</v>
      </c>
      <c r="J26" s="139">
        <v>50</v>
      </c>
      <c r="K26" s="2" t="s">
        <v>203</v>
      </c>
      <c r="L26" s="139">
        <v>13</v>
      </c>
    </row>
    <row r="27" spans="1:12">
      <c r="A27" s="155"/>
      <c r="B27" s="155"/>
      <c r="C27" s="4" t="s">
        <v>3968</v>
      </c>
      <c r="D27" s="155"/>
      <c r="E27" s="155" t="s">
        <v>173</v>
      </c>
      <c r="F27" s="155">
        <v>70</v>
      </c>
      <c r="G27" s="4" t="s">
        <v>3989</v>
      </c>
      <c r="H27" s="155">
        <v>21</v>
      </c>
      <c r="I27" s="139"/>
      <c r="J27" s="139"/>
      <c r="K27" s="2" t="s">
        <v>278</v>
      </c>
      <c r="L27" s="139"/>
    </row>
    <row r="28" spans="1:12">
      <c r="A28" s="155"/>
      <c r="B28" s="155"/>
      <c r="C28" s="4" t="s">
        <v>128</v>
      </c>
      <c r="D28" s="155"/>
      <c r="E28" s="155"/>
      <c r="F28" s="155"/>
      <c r="G28" s="4" t="s">
        <v>158</v>
      </c>
      <c r="H28" s="155"/>
      <c r="I28" s="139"/>
      <c r="J28" s="139"/>
      <c r="K28" s="2" t="s">
        <v>3765</v>
      </c>
      <c r="L28" s="139"/>
    </row>
    <row r="29" spans="1:12">
      <c r="A29" s="155" t="s">
        <v>132</v>
      </c>
      <c r="B29" s="155">
        <v>80</v>
      </c>
      <c r="C29" s="4" t="s">
        <v>3862</v>
      </c>
      <c r="D29" s="155">
        <v>24</v>
      </c>
      <c r="E29" s="155"/>
      <c r="F29" s="155"/>
      <c r="G29" s="4" t="s">
        <v>160</v>
      </c>
      <c r="H29" s="155"/>
      <c r="I29" s="139" t="s">
        <v>288</v>
      </c>
      <c r="J29" s="139">
        <v>60</v>
      </c>
      <c r="K29" s="2" t="s">
        <v>207</v>
      </c>
      <c r="L29" s="139">
        <v>16</v>
      </c>
    </row>
    <row r="30" spans="1:12">
      <c r="A30" s="155"/>
      <c r="B30" s="155"/>
      <c r="C30" s="4" t="s">
        <v>3837</v>
      </c>
      <c r="D30" s="155"/>
      <c r="E30" s="155"/>
      <c r="F30" s="155"/>
      <c r="G30" s="4" t="s">
        <v>159</v>
      </c>
      <c r="H30" s="155"/>
      <c r="I30" s="139"/>
      <c r="J30" s="139"/>
      <c r="K30" s="2" t="s">
        <v>3999</v>
      </c>
      <c r="L30" s="139"/>
    </row>
    <row r="31" spans="1:12">
      <c r="A31" s="155"/>
      <c r="B31" s="155"/>
      <c r="C31" s="4" t="s">
        <v>3968</v>
      </c>
      <c r="D31" s="155"/>
      <c r="E31" s="155" t="s">
        <v>174</v>
      </c>
      <c r="F31" s="155">
        <v>80</v>
      </c>
      <c r="G31" s="4" t="s">
        <v>175</v>
      </c>
      <c r="H31" s="155">
        <v>24</v>
      </c>
      <c r="I31" s="139"/>
      <c r="J31" s="139"/>
      <c r="K31" s="2" t="s">
        <v>278</v>
      </c>
      <c r="L31" s="139"/>
    </row>
    <row r="32" spans="1:12">
      <c r="A32" s="155"/>
      <c r="B32" s="155"/>
      <c r="C32" s="4" t="s">
        <v>128</v>
      </c>
      <c r="D32" s="155"/>
      <c r="E32" s="155"/>
      <c r="F32" s="155"/>
      <c r="G32" s="4" t="s">
        <v>159</v>
      </c>
      <c r="H32" s="155"/>
      <c r="I32" s="139"/>
      <c r="J32" s="139"/>
      <c r="K32" s="2" t="s">
        <v>158</v>
      </c>
      <c r="L32" s="139"/>
    </row>
    <row r="33" spans="1:12">
      <c r="A33" s="155" t="s">
        <v>133</v>
      </c>
      <c r="B33" s="155">
        <v>90</v>
      </c>
      <c r="C33" s="4" t="s">
        <v>3862</v>
      </c>
      <c r="D33" s="155">
        <v>28</v>
      </c>
      <c r="E33" s="155" t="s">
        <v>176</v>
      </c>
      <c r="F33" s="155">
        <v>90</v>
      </c>
      <c r="G33" s="4" t="s">
        <v>3847</v>
      </c>
      <c r="H33" s="155">
        <v>28</v>
      </c>
      <c r="I33" s="139" t="s">
        <v>289</v>
      </c>
      <c r="J33" s="139">
        <v>70</v>
      </c>
      <c r="K33" s="2" t="s">
        <v>3987</v>
      </c>
      <c r="L33" s="139">
        <v>18</v>
      </c>
    </row>
    <row r="34" spans="1:12">
      <c r="A34" s="155"/>
      <c r="B34" s="155"/>
      <c r="C34" s="4" t="s">
        <v>3842</v>
      </c>
      <c r="D34" s="155"/>
      <c r="E34" s="155"/>
      <c r="F34" s="155"/>
      <c r="G34" s="4" t="s">
        <v>161</v>
      </c>
      <c r="H34" s="155"/>
      <c r="I34" s="139"/>
      <c r="J34" s="139"/>
      <c r="K34" s="2" t="s">
        <v>278</v>
      </c>
      <c r="L34" s="139"/>
    </row>
    <row r="35" spans="1:12">
      <c r="A35" s="155"/>
      <c r="B35" s="155"/>
      <c r="C35" s="4" t="s">
        <v>3968</v>
      </c>
      <c r="D35" s="155"/>
      <c r="E35" s="155"/>
      <c r="F35" s="155"/>
      <c r="G35" s="4" t="s">
        <v>159</v>
      </c>
      <c r="H35" s="155"/>
      <c r="I35" s="139"/>
      <c r="J35" s="139"/>
      <c r="K35" s="2" t="s">
        <v>3765</v>
      </c>
      <c r="L35" s="139"/>
    </row>
    <row r="36" spans="1:12">
      <c r="A36" s="155"/>
      <c r="B36" s="155"/>
      <c r="C36" s="4" t="s">
        <v>128</v>
      </c>
      <c r="D36" s="155"/>
      <c r="E36" s="155" t="s">
        <v>177</v>
      </c>
      <c r="F36" s="155">
        <v>100</v>
      </c>
      <c r="G36" s="4" t="s">
        <v>3842</v>
      </c>
      <c r="H36" s="155">
        <v>31</v>
      </c>
      <c r="I36" s="139" t="s">
        <v>290</v>
      </c>
      <c r="J36" s="139">
        <v>80</v>
      </c>
      <c r="K36" s="2" t="s">
        <v>3862</v>
      </c>
      <c r="L36" s="139">
        <v>20</v>
      </c>
    </row>
    <row r="37" spans="1:12">
      <c r="A37" s="155" t="s">
        <v>134</v>
      </c>
      <c r="B37" s="155">
        <v>100</v>
      </c>
      <c r="C37" s="4" t="s">
        <v>3751</v>
      </c>
      <c r="D37" s="155">
        <v>31</v>
      </c>
      <c r="E37" s="155"/>
      <c r="F37" s="155"/>
      <c r="G37" s="4" t="s">
        <v>162</v>
      </c>
      <c r="H37" s="155"/>
      <c r="I37" s="139"/>
      <c r="J37" s="139"/>
      <c r="K37" s="2" t="s">
        <v>3837</v>
      </c>
      <c r="L37" s="139"/>
    </row>
    <row r="38" spans="1:12">
      <c r="A38" s="155"/>
      <c r="B38" s="155"/>
      <c r="C38" s="4" t="s">
        <v>3842</v>
      </c>
      <c r="D38" s="155"/>
      <c r="E38" s="155"/>
      <c r="F38" s="155"/>
      <c r="G38" s="4" t="s">
        <v>161</v>
      </c>
      <c r="H38" s="155"/>
      <c r="I38" s="139"/>
      <c r="J38" s="139"/>
      <c r="K38" s="2" t="s">
        <v>280</v>
      </c>
      <c r="L38" s="139"/>
    </row>
    <row r="39" spans="1:12">
      <c r="A39" s="155"/>
      <c r="B39" s="155"/>
      <c r="C39" s="4" t="s">
        <v>3968</v>
      </c>
      <c r="D39" s="155"/>
      <c r="E39" s="155"/>
      <c r="F39" s="155"/>
      <c r="G39" s="4" t="s">
        <v>159</v>
      </c>
      <c r="H39" s="155"/>
      <c r="I39" s="139" t="s">
        <v>291</v>
      </c>
      <c r="J39" s="139">
        <v>90</v>
      </c>
      <c r="K39" s="2" t="s">
        <v>3862</v>
      </c>
      <c r="L39" s="139">
        <v>23</v>
      </c>
    </row>
    <row r="40" spans="1:12">
      <c r="A40" s="155"/>
      <c r="B40" s="155"/>
      <c r="C40" s="4" t="s">
        <v>128</v>
      </c>
      <c r="D40" s="155"/>
      <c r="E40" s="155" t="s">
        <v>178</v>
      </c>
      <c r="F40" s="155">
        <v>110</v>
      </c>
      <c r="G40" s="4" t="s">
        <v>179</v>
      </c>
      <c r="H40" s="155">
        <v>35</v>
      </c>
      <c r="I40" s="139"/>
      <c r="J40" s="139"/>
      <c r="K40" s="2" t="s">
        <v>3842</v>
      </c>
      <c r="L40" s="139"/>
    </row>
    <row r="41" spans="1:12">
      <c r="A41" s="4" t="s">
        <v>135</v>
      </c>
      <c r="B41" s="4">
        <v>110</v>
      </c>
      <c r="C41" s="4" t="s">
        <v>3772</v>
      </c>
      <c r="D41" s="4">
        <v>35</v>
      </c>
      <c r="E41" s="155"/>
      <c r="F41" s="155"/>
      <c r="G41" s="4" t="s">
        <v>159</v>
      </c>
      <c r="H41" s="155"/>
      <c r="I41" s="139"/>
      <c r="J41" s="139"/>
      <c r="K41" s="2" t="s">
        <v>3765</v>
      </c>
      <c r="L41" s="139"/>
    </row>
    <row r="42" spans="1:12">
      <c r="A42" s="4" t="s">
        <v>136</v>
      </c>
      <c r="B42" s="4">
        <v>120</v>
      </c>
      <c r="C42" s="4" t="s">
        <v>3772</v>
      </c>
      <c r="D42" s="4">
        <v>38</v>
      </c>
      <c r="E42" s="155" t="s">
        <v>180</v>
      </c>
      <c r="F42" s="155">
        <v>120</v>
      </c>
      <c r="G42" s="4" t="s">
        <v>179</v>
      </c>
      <c r="H42" s="155">
        <v>38</v>
      </c>
      <c r="I42" s="139" t="s">
        <v>292</v>
      </c>
      <c r="J42" s="139">
        <v>100</v>
      </c>
      <c r="K42" s="2" t="s">
        <v>3751</v>
      </c>
      <c r="L42" s="139">
        <v>26</v>
      </c>
    </row>
    <row r="43" spans="1:12">
      <c r="A43" s="4" t="s">
        <v>137</v>
      </c>
      <c r="B43" s="4">
        <v>130</v>
      </c>
      <c r="C43" s="4" t="s">
        <v>3772</v>
      </c>
      <c r="D43" s="4">
        <v>42</v>
      </c>
      <c r="E43" s="155"/>
      <c r="F43" s="155"/>
      <c r="G43" s="4" t="s">
        <v>159</v>
      </c>
      <c r="H43" s="155"/>
      <c r="I43" s="139"/>
      <c r="J43" s="139"/>
      <c r="K43" s="2" t="s">
        <v>3842</v>
      </c>
      <c r="L43" s="139"/>
    </row>
    <row r="44" spans="1:12">
      <c r="A44" s="4" t="s">
        <v>1753</v>
      </c>
      <c r="B44" s="4">
        <v>140</v>
      </c>
      <c r="C44" s="4" t="s">
        <v>2288</v>
      </c>
      <c r="D44" s="4"/>
      <c r="E44" s="155" t="s">
        <v>181</v>
      </c>
      <c r="F44" s="155">
        <v>130</v>
      </c>
      <c r="G44" s="4" t="s">
        <v>179</v>
      </c>
      <c r="H44" s="155">
        <v>42</v>
      </c>
      <c r="I44" s="139"/>
      <c r="J44" s="139"/>
      <c r="K44" s="2" t="s">
        <v>158</v>
      </c>
      <c r="L44" s="139"/>
    </row>
    <row r="45" spans="1:12">
      <c r="A45" s="4" t="s">
        <v>1754</v>
      </c>
      <c r="B45" s="4">
        <v>150</v>
      </c>
      <c r="C45" s="4" t="s">
        <v>2288</v>
      </c>
      <c r="D45" s="4"/>
      <c r="E45" s="155"/>
      <c r="F45" s="155"/>
      <c r="G45" s="4" t="s">
        <v>159</v>
      </c>
      <c r="H45" s="155"/>
      <c r="I45" s="139"/>
      <c r="J45" s="139"/>
      <c r="K45" s="2" t="s">
        <v>281</v>
      </c>
      <c r="L45" s="139"/>
    </row>
    <row r="46" spans="1:12">
      <c r="A46" s="4" t="s">
        <v>1755</v>
      </c>
      <c r="B46" s="4">
        <v>160</v>
      </c>
      <c r="C46" s="4" t="s">
        <v>2288</v>
      </c>
      <c r="D46" s="4"/>
      <c r="E46" s="2" t="s">
        <v>1759</v>
      </c>
      <c r="F46" s="4">
        <v>140</v>
      </c>
      <c r="G46" s="4" t="s">
        <v>2289</v>
      </c>
      <c r="H46" s="4"/>
      <c r="I46" s="2" t="s">
        <v>79</v>
      </c>
      <c r="J46" s="2">
        <v>110</v>
      </c>
      <c r="K46" s="2" t="s">
        <v>3789</v>
      </c>
      <c r="L46" s="2">
        <v>28</v>
      </c>
    </row>
    <row r="47" spans="1:12">
      <c r="A47" s="4" t="s">
        <v>2794</v>
      </c>
      <c r="B47" s="4">
        <v>170</v>
      </c>
      <c r="C47" s="2" t="s">
        <v>1840</v>
      </c>
      <c r="D47" s="4"/>
      <c r="E47" s="2" t="s">
        <v>1760</v>
      </c>
      <c r="F47" s="4">
        <v>150</v>
      </c>
      <c r="G47" s="4" t="s">
        <v>2289</v>
      </c>
      <c r="H47" s="4"/>
      <c r="I47" s="2" t="s">
        <v>293</v>
      </c>
      <c r="J47" s="2">
        <v>120</v>
      </c>
      <c r="K47" s="2" t="s">
        <v>3789</v>
      </c>
      <c r="L47" s="2">
        <v>31</v>
      </c>
    </row>
    <row r="48" spans="1:12">
      <c r="A48" s="4" t="s">
        <v>1841</v>
      </c>
      <c r="B48" s="4">
        <v>180</v>
      </c>
      <c r="C48" s="2" t="s">
        <v>1840</v>
      </c>
      <c r="D48" s="4"/>
      <c r="E48" s="2" t="s">
        <v>1761</v>
      </c>
      <c r="F48" s="4">
        <v>160</v>
      </c>
      <c r="G48" s="4" t="s">
        <v>2289</v>
      </c>
      <c r="H48" s="4"/>
      <c r="I48" s="2" t="s">
        <v>294</v>
      </c>
      <c r="J48" s="2">
        <v>130</v>
      </c>
      <c r="K48" s="2" t="s">
        <v>3789</v>
      </c>
      <c r="L48" s="2">
        <v>33</v>
      </c>
    </row>
    <row r="49" spans="1:12">
      <c r="A49" s="19"/>
      <c r="B49" s="19"/>
      <c r="C49" s="20"/>
      <c r="D49" s="19"/>
      <c r="E49" s="4" t="s">
        <v>1842</v>
      </c>
      <c r="F49" s="4">
        <v>170</v>
      </c>
      <c r="G49" s="2" t="s">
        <v>1843</v>
      </c>
      <c r="H49" s="4"/>
      <c r="I49" s="2" t="s">
        <v>1765</v>
      </c>
      <c r="J49" s="4">
        <v>140</v>
      </c>
      <c r="K49" s="2" t="s">
        <v>2290</v>
      </c>
      <c r="L49" s="2"/>
    </row>
    <row r="50" spans="1:12">
      <c r="A50" s="19"/>
      <c r="B50" s="19"/>
      <c r="C50" s="20"/>
      <c r="D50" s="19"/>
      <c r="E50" s="4" t="s">
        <v>1844</v>
      </c>
      <c r="F50" s="4">
        <v>180</v>
      </c>
      <c r="G50" s="2" t="s">
        <v>1843</v>
      </c>
      <c r="H50" s="4"/>
      <c r="I50" s="2" t="s">
        <v>1766</v>
      </c>
      <c r="J50" s="4">
        <v>150</v>
      </c>
      <c r="K50" s="2" t="s">
        <v>2290</v>
      </c>
      <c r="L50" s="2"/>
    </row>
    <row r="51" spans="1:12">
      <c r="I51" s="2" t="s">
        <v>1767</v>
      </c>
      <c r="J51" s="4">
        <v>160</v>
      </c>
      <c r="K51" s="2" t="s">
        <v>2290</v>
      </c>
      <c r="L51" s="2"/>
    </row>
    <row r="52" spans="1:12">
      <c r="I52" s="2" t="s">
        <v>1845</v>
      </c>
      <c r="J52" s="4">
        <v>170</v>
      </c>
      <c r="K52" s="2" t="s">
        <v>1846</v>
      </c>
      <c r="L52" s="2"/>
    </row>
    <row r="53" spans="1:12">
      <c r="I53" s="2" t="s">
        <v>1847</v>
      </c>
      <c r="J53" s="4">
        <v>180</v>
      </c>
      <c r="K53" s="2" t="s">
        <v>1846</v>
      </c>
      <c r="L53" s="2"/>
    </row>
    <row r="56" spans="1:12" ht="20.25">
      <c r="A56" s="156" t="s">
        <v>1838</v>
      </c>
      <c r="B56" s="156"/>
      <c r="C56" s="156"/>
      <c r="D56" s="156"/>
      <c r="E56" s="156" t="s">
        <v>1837</v>
      </c>
      <c r="F56" s="156"/>
      <c r="G56" s="156"/>
      <c r="H56" s="156"/>
      <c r="I56" s="159" t="s">
        <v>1839</v>
      </c>
      <c r="J56" s="156"/>
      <c r="K56" s="156"/>
      <c r="L56" s="156"/>
    </row>
    <row r="57" spans="1:12">
      <c r="A57" s="139" t="s">
        <v>264</v>
      </c>
      <c r="B57" s="139">
        <v>1</v>
      </c>
      <c r="C57" s="2" t="s">
        <v>153</v>
      </c>
      <c r="D57" s="139" t="s">
        <v>1771</v>
      </c>
      <c r="E57" s="155" t="s">
        <v>1833</v>
      </c>
      <c r="F57" s="155">
        <v>1</v>
      </c>
      <c r="G57" s="4" t="s">
        <v>153</v>
      </c>
      <c r="H57" s="155" t="s">
        <v>1771</v>
      </c>
      <c r="I57" s="157" t="s">
        <v>231</v>
      </c>
      <c r="J57" s="139">
        <v>1</v>
      </c>
      <c r="K57" s="2" t="s">
        <v>232</v>
      </c>
      <c r="L57" s="139" t="s">
        <v>1771</v>
      </c>
    </row>
    <row r="58" spans="1:12">
      <c r="A58" s="139"/>
      <c r="B58" s="139"/>
      <c r="C58" s="2" t="s">
        <v>138</v>
      </c>
      <c r="D58" s="139"/>
      <c r="E58" s="155"/>
      <c r="F58" s="155"/>
      <c r="G58" s="4" t="s">
        <v>138</v>
      </c>
      <c r="H58" s="155"/>
      <c r="I58" s="157"/>
      <c r="J58" s="139"/>
      <c r="K58" s="2" t="s">
        <v>138</v>
      </c>
      <c r="L58" s="139"/>
    </row>
    <row r="59" spans="1:12">
      <c r="A59" s="139"/>
      <c r="B59" s="139"/>
      <c r="C59" s="2" t="s">
        <v>167</v>
      </c>
      <c r="D59" s="139"/>
      <c r="E59" s="155" t="s">
        <v>1834</v>
      </c>
      <c r="F59" s="155">
        <v>5</v>
      </c>
      <c r="G59" s="4" t="s">
        <v>153</v>
      </c>
      <c r="H59" s="155" t="s">
        <v>1771</v>
      </c>
      <c r="I59" s="157"/>
      <c r="J59" s="139"/>
      <c r="K59" s="2" t="s">
        <v>122</v>
      </c>
      <c r="L59" s="139"/>
    </row>
    <row r="60" spans="1:12">
      <c r="A60" s="139"/>
      <c r="B60" s="139"/>
      <c r="C60" s="2" t="s">
        <v>158</v>
      </c>
      <c r="D60" s="139"/>
      <c r="E60" s="155"/>
      <c r="F60" s="155"/>
      <c r="G60" s="4" t="s">
        <v>138</v>
      </c>
      <c r="H60" s="155"/>
      <c r="I60" s="157" t="s">
        <v>233</v>
      </c>
      <c r="J60" s="139">
        <v>5</v>
      </c>
      <c r="K60" s="2" t="s">
        <v>234</v>
      </c>
      <c r="L60" s="139" t="s">
        <v>1771</v>
      </c>
    </row>
    <row r="61" spans="1:12">
      <c r="A61" s="139" t="s">
        <v>265</v>
      </c>
      <c r="B61" s="139">
        <v>5</v>
      </c>
      <c r="C61" s="2" t="s">
        <v>153</v>
      </c>
      <c r="D61" s="139" t="s">
        <v>1771</v>
      </c>
      <c r="E61" s="155" t="s">
        <v>187</v>
      </c>
      <c r="F61" s="155">
        <v>10</v>
      </c>
      <c r="G61" s="4" t="s">
        <v>188</v>
      </c>
      <c r="H61" s="155" t="s">
        <v>1771</v>
      </c>
      <c r="I61" s="157"/>
      <c r="J61" s="139"/>
      <c r="K61" s="2" t="s">
        <v>138</v>
      </c>
      <c r="L61" s="139"/>
    </row>
    <row r="62" spans="1:12">
      <c r="A62" s="139"/>
      <c r="B62" s="139"/>
      <c r="C62" s="2" t="s">
        <v>138</v>
      </c>
      <c r="D62" s="139"/>
      <c r="E62" s="155"/>
      <c r="F62" s="155"/>
      <c r="G62" s="4" t="s">
        <v>154</v>
      </c>
      <c r="H62" s="155"/>
      <c r="I62" s="157"/>
      <c r="J62" s="139"/>
      <c r="K62" s="2" t="s">
        <v>122</v>
      </c>
      <c r="L62" s="139"/>
    </row>
    <row r="63" spans="1:12">
      <c r="A63" s="139"/>
      <c r="B63" s="139"/>
      <c r="C63" s="2" t="s">
        <v>167</v>
      </c>
      <c r="D63" s="139"/>
      <c r="E63" s="155"/>
      <c r="F63" s="155"/>
      <c r="G63" s="4" t="s">
        <v>155</v>
      </c>
      <c r="H63" s="155"/>
      <c r="I63" s="157" t="s">
        <v>235</v>
      </c>
      <c r="J63" s="139">
        <v>10</v>
      </c>
      <c r="K63" s="2" t="s">
        <v>236</v>
      </c>
      <c r="L63" s="139" t="s">
        <v>1771</v>
      </c>
    </row>
    <row r="64" spans="1:12">
      <c r="A64" s="139" t="s">
        <v>296</v>
      </c>
      <c r="B64" s="139">
        <v>10</v>
      </c>
      <c r="C64" s="2" t="s">
        <v>188</v>
      </c>
      <c r="D64" s="139" t="s">
        <v>1771</v>
      </c>
      <c r="E64" s="155"/>
      <c r="F64" s="155"/>
      <c r="G64" s="4" t="s">
        <v>182</v>
      </c>
      <c r="H64" s="155"/>
      <c r="I64" s="157"/>
      <c r="J64" s="139"/>
      <c r="K64" s="2" t="s">
        <v>138</v>
      </c>
      <c r="L64" s="139"/>
    </row>
    <row r="65" spans="1:12">
      <c r="A65" s="139"/>
      <c r="B65" s="139"/>
      <c r="C65" s="2" t="s">
        <v>154</v>
      </c>
      <c r="D65" s="139"/>
      <c r="E65" s="155"/>
      <c r="F65" s="155"/>
      <c r="G65" s="4" t="s">
        <v>3926</v>
      </c>
      <c r="H65" s="155"/>
      <c r="I65" s="157"/>
      <c r="J65" s="139"/>
      <c r="K65" s="2" t="s">
        <v>220</v>
      </c>
      <c r="L65" s="139"/>
    </row>
    <row r="66" spans="1:12">
      <c r="A66" s="139"/>
      <c r="B66" s="139"/>
      <c r="C66" s="2" t="s">
        <v>167</v>
      </c>
      <c r="D66" s="139"/>
      <c r="E66" s="155" t="s">
        <v>189</v>
      </c>
      <c r="F66" s="155">
        <v>10</v>
      </c>
      <c r="G66" s="4" t="s">
        <v>188</v>
      </c>
      <c r="H66" s="155" t="s">
        <v>1771</v>
      </c>
      <c r="I66" s="157"/>
      <c r="J66" s="139"/>
      <c r="K66" s="2" t="s">
        <v>122</v>
      </c>
      <c r="L66" s="139"/>
    </row>
    <row r="67" spans="1:12">
      <c r="A67" s="139"/>
      <c r="B67" s="139"/>
      <c r="C67" s="2" t="s">
        <v>158</v>
      </c>
      <c r="D67" s="139"/>
      <c r="E67" s="155"/>
      <c r="F67" s="155"/>
      <c r="G67" s="4" t="s">
        <v>154</v>
      </c>
      <c r="H67" s="155"/>
      <c r="I67" s="157" t="s">
        <v>237</v>
      </c>
      <c r="J67" s="139">
        <v>15</v>
      </c>
      <c r="K67" s="2" t="s">
        <v>238</v>
      </c>
      <c r="L67" s="139">
        <v>4</v>
      </c>
    </row>
    <row r="68" spans="1:12">
      <c r="A68" s="139"/>
      <c r="B68" s="139"/>
      <c r="C68" s="2" t="s">
        <v>122</v>
      </c>
      <c r="D68" s="139"/>
      <c r="E68" s="155"/>
      <c r="F68" s="155"/>
      <c r="G68" s="4" t="s">
        <v>155</v>
      </c>
      <c r="H68" s="155"/>
      <c r="I68" s="157"/>
      <c r="J68" s="139"/>
      <c r="K68" s="2" t="s">
        <v>221</v>
      </c>
      <c r="L68" s="139"/>
    </row>
    <row r="69" spans="1:12">
      <c r="A69" s="139" t="s">
        <v>1835</v>
      </c>
      <c r="B69" s="139">
        <v>15</v>
      </c>
      <c r="C69" s="2" t="s">
        <v>3824</v>
      </c>
      <c r="D69" s="139">
        <v>5</v>
      </c>
      <c r="E69" s="155"/>
      <c r="F69" s="155"/>
      <c r="G69" s="4" t="s">
        <v>182</v>
      </c>
      <c r="H69" s="155"/>
      <c r="I69" s="157"/>
      <c r="J69" s="139"/>
      <c r="K69" s="2" t="s">
        <v>222</v>
      </c>
      <c r="L69" s="139"/>
    </row>
    <row r="70" spans="1:12">
      <c r="A70" s="139"/>
      <c r="B70" s="139"/>
      <c r="C70" s="2" t="s">
        <v>183</v>
      </c>
      <c r="D70" s="139"/>
      <c r="E70" s="155" t="s">
        <v>190</v>
      </c>
      <c r="F70" s="155">
        <v>15</v>
      </c>
      <c r="G70" s="4" t="s">
        <v>3826</v>
      </c>
      <c r="H70" s="155">
        <v>4</v>
      </c>
      <c r="I70" s="157" t="s">
        <v>239</v>
      </c>
      <c r="J70" s="139">
        <v>20</v>
      </c>
      <c r="K70" s="2" t="s">
        <v>240</v>
      </c>
      <c r="L70" s="139">
        <v>5</v>
      </c>
    </row>
    <row r="71" spans="1:12">
      <c r="A71" s="139"/>
      <c r="B71" s="139"/>
      <c r="C71" s="2" t="s">
        <v>139</v>
      </c>
      <c r="D71" s="139"/>
      <c r="E71" s="155"/>
      <c r="F71" s="155"/>
      <c r="G71" s="4" t="s">
        <v>3828</v>
      </c>
      <c r="H71" s="155"/>
      <c r="I71" s="157"/>
      <c r="J71" s="139"/>
      <c r="K71" s="2" t="s">
        <v>223</v>
      </c>
      <c r="L71" s="139"/>
    </row>
    <row r="72" spans="1:12">
      <c r="A72" s="139"/>
      <c r="B72" s="139"/>
      <c r="C72" s="2" t="s">
        <v>158</v>
      </c>
      <c r="D72" s="139"/>
      <c r="E72" s="155" t="s">
        <v>191</v>
      </c>
      <c r="F72" s="155">
        <v>15</v>
      </c>
      <c r="G72" s="4" t="s">
        <v>3824</v>
      </c>
      <c r="H72" s="155">
        <v>4</v>
      </c>
      <c r="I72" s="157"/>
      <c r="J72" s="139"/>
      <c r="K72" s="2" t="s">
        <v>224</v>
      </c>
      <c r="L72" s="139"/>
    </row>
    <row r="73" spans="1:12">
      <c r="A73" s="139"/>
      <c r="B73" s="139"/>
      <c r="C73" s="2" t="s">
        <v>122</v>
      </c>
      <c r="D73" s="139"/>
      <c r="E73" s="155"/>
      <c r="F73" s="155"/>
      <c r="G73" s="4" t="s">
        <v>183</v>
      </c>
      <c r="H73" s="155"/>
      <c r="I73" s="157"/>
      <c r="J73" s="139"/>
      <c r="K73" s="2" t="s">
        <v>225</v>
      </c>
      <c r="L73" s="139"/>
    </row>
    <row r="74" spans="1:12">
      <c r="A74" s="139"/>
      <c r="B74" s="139"/>
      <c r="C74" s="2" t="s">
        <v>128</v>
      </c>
      <c r="D74" s="139"/>
      <c r="E74" s="155"/>
      <c r="F74" s="155"/>
      <c r="G74" s="4" t="s">
        <v>3828</v>
      </c>
      <c r="H74" s="155"/>
      <c r="I74" s="157" t="s">
        <v>241</v>
      </c>
      <c r="J74" s="139">
        <v>20</v>
      </c>
      <c r="K74" s="2" t="s">
        <v>242</v>
      </c>
      <c r="L74" s="139">
        <v>5</v>
      </c>
    </row>
    <row r="75" spans="1:12">
      <c r="A75" s="139" t="s">
        <v>266</v>
      </c>
      <c r="B75" s="139">
        <v>20</v>
      </c>
      <c r="C75" s="2" t="s">
        <v>267</v>
      </c>
      <c r="D75" s="139">
        <v>7</v>
      </c>
      <c r="E75" s="155" t="s">
        <v>192</v>
      </c>
      <c r="F75" s="155">
        <v>20</v>
      </c>
      <c r="G75" s="4" t="s">
        <v>193</v>
      </c>
      <c r="H75" s="155">
        <v>5</v>
      </c>
      <c r="I75" s="157"/>
      <c r="J75" s="139"/>
      <c r="K75" s="2" t="s">
        <v>226</v>
      </c>
      <c r="L75" s="139"/>
    </row>
    <row r="76" spans="1:12">
      <c r="A76" s="139"/>
      <c r="B76" s="139"/>
      <c r="C76" s="2" t="s">
        <v>262</v>
      </c>
      <c r="D76" s="139"/>
      <c r="E76" s="155"/>
      <c r="F76" s="155"/>
      <c r="G76" s="4" t="s">
        <v>104</v>
      </c>
      <c r="H76" s="155"/>
      <c r="I76" s="157"/>
      <c r="J76" s="139"/>
      <c r="K76" s="2" t="s">
        <v>227</v>
      </c>
      <c r="L76" s="139"/>
    </row>
    <row r="77" spans="1:12">
      <c r="A77" s="139"/>
      <c r="B77" s="139"/>
      <c r="C77" s="2" t="s">
        <v>125</v>
      </c>
      <c r="D77" s="139"/>
      <c r="E77" s="155"/>
      <c r="F77" s="155"/>
      <c r="G77" s="4" t="s">
        <v>122</v>
      </c>
      <c r="H77" s="155"/>
      <c r="I77" s="157" t="s">
        <v>243</v>
      </c>
      <c r="J77" s="139">
        <v>25</v>
      </c>
      <c r="K77" s="2" t="s">
        <v>244</v>
      </c>
      <c r="L77" s="139">
        <v>7</v>
      </c>
    </row>
    <row r="78" spans="1:12">
      <c r="A78" s="139"/>
      <c r="B78" s="139"/>
      <c r="C78" s="2" t="s">
        <v>182</v>
      </c>
      <c r="D78" s="139"/>
      <c r="E78" s="155"/>
      <c r="F78" s="155"/>
      <c r="G78" s="4" t="s">
        <v>3926</v>
      </c>
      <c r="H78" s="155"/>
      <c r="I78" s="157"/>
      <c r="J78" s="139"/>
      <c r="K78" s="2" t="s">
        <v>228</v>
      </c>
      <c r="L78" s="139"/>
    </row>
    <row r="79" spans="1:12">
      <c r="A79" s="139"/>
      <c r="B79" s="139"/>
      <c r="C79" s="2" t="s">
        <v>128</v>
      </c>
      <c r="D79" s="139"/>
      <c r="E79" s="155" t="s">
        <v>194</v>
      </c>
      <c r="F79" s="155">
        <v>20</v>
      </c>
      <c r="G79" s="4" t="s">
        <v>104</v>
      </c>
      <c r="H79" s="155">
        <v>5</v>
      </c>
      <c r="I79" s="21" t="s">
        <v>245</v>
      </c>
      <c r="J79" s="2">
        <v>30</v>
      </c>
      <c r="K79" s="2" t="s">
        <v>246</v>
      </c>
      <c r="L79" s="2">
        <v>8</v>
      </c>
    </row>
    <row r="80" spans="1:12">
      <c r="A80" s="139" t="s">
        <v>1836</v>
      </c>
      <c r="B80" s="139">
        <v>25</v>
      </c>
      <c r="C80" s="2" t="s">
        <v>254</v>
      </c>
      <c r="D80" s="139">
        <v>8</v>
      </c>
      <c r="E80" s="155"/>
      <c r="F80" s="155"/>
      <c r="G80" s="4" t="s">
        <v>122</v>
      </c>
      <c r="H80" s="155"/>
      <c r="I80" s="21" t="s">
        <v>247</v>
      </c>
      <c r="J80" s="2">
        <v>40</v>
      </c>
      <c r="K80" s="2" t="s">
        <v>127</v>
      </c>
      <c r="L80" s="2">
        <v>11</v>
      </c>
    </row>
    <row r="81" spans="1:12">
      <c r="A81" s="139"/>
      <c r="B81" s="139"/>
      <c r="C81" s="2" t="s">
        <v>105</v>
      </c>
      <c r="D81" s="139"/>
      <c r="E81" s="155" t="s">
        <v>195</v>
      </c>
      <c r="F81" s="155">
        <v>25</v>
      </c>
      <c r="G81" s="4" t="s">
        <v>139</v>
      </c>
      <c r="H81" s="155">
        <v>7</v>
      </c>
      <c r="I81" s="157" t="s">
        <v>248</v>
      </c>
      <c r="J81" s="139">
        <v>45</v>
      </c>
      <c r="K81" s="2" t="s">
        <v>249</v>
      </c>
      <c r="L81" s="139">
        <v>12</v>
      </c>
    </row>
    <row r="82" spans="1:12">
      <c r="A82" s="139"/>
      <c r="B82" s="139"/>
      <c r="C82" s="2" t="s">
        <v>182</v>
      </c>
      <c r="D82" s="139"/>
      <c r="E82" s="155"/>
      <c r="F82" s="155"/>
      <c r="G82" s="4" t="s">
        <v>182</v>
      </c>
      <c r="H82" s="155"/>
      <c r="I82" s="157"/>
      <c r="J82" s="139"/>
      <c r="K82" s="2" t="s">
        <v>220</v>
      </c>
      <c r="L82" s="139"/>
    </row>
    <row r="83" spans="1:12">
      <c r="A83" s="139"/>
      <c r="B83" s="139"/>
      <c r="C83" s="2" t="s">
        <v>128</v>
      </c>
      <c r="D83" s="139"/>
      <c r="E83" s="155"/>
      <c r="F83" s="155"/>
      <c r="G83" s="4" t="s">
        <v>122</v>
      </c>
      <c r="H83" s="155"/>
      <c r="I83" s="157"/>
      <c r="J83" s="139"/>
      <c r="K83" s="2" t="s">
        <v>122</v>
      </c>
      <c r="L83" s="139"/>
    </row>
    <row r="84" spans="1:12">
      <c r="A84" s="139" t="s">
        <v>268</v>
      </c>
      <c r="B84" s="139">
        <v>30</v>
      </c>
      <c r="C84" s="2" t="s">
        <v>254</v>
      </c>
      <c r="D84" s="139">
        <v>9</v>
      </c>
      <c r="E84" s="155"/>
      <c r="F84" s="155"/>
      <c r="G84" s="4" t="s">
        <v>3926</v>
      </c>
      <c r="H84" s="155"/>
      <c r="I84" s="157" t="s">
        <v>250</v>
      </c>
      <c r="J84" s="139">
        <v>50</v>
      </c>
      <c r="K84" s="2" t="s">
        <v>251</v>
      </c>
      <c r="L84" s="139">
        <v>13</v>
      </c>
    </row>
    <row r="85" spans="1:12">
      <c r="A85" s="139"/>
      <c r="B85" s="139"/>
      <c r="C85" s="2" t="s">
        <v>105</v>
      </c>
      <c r="D85" s="139"/>
      <c r="E85" s="155" t="s">
        <v>196</v>
      </c>
      <c r="F85" s="155">
        <v>30</v>
      </c>
      <c r="G85" s="4" t="s">
        <v>125</v>
      </c>
      <c r="H85" s="155">
        <v>8</v>
      </c>
      <c r="I85" s="157"/>
      <c r="J85" s="139"/>
      <c r="K85" s="2" t="s">
        <v>122</v>
      </c>
      <c r="L85" s="139"/>
    </row>
    <row r="86" spans="1:12">
      <c r="A86" s="139"/>
      <c r="B86" s="139"/>
      <c r="C86" s="2" t="s">
        <v>182</v>
      </c>
      <c r="D86" s="139"/>
      <c r="E86" s="155"/>
      <c r="F86" s="155"/>
      <c r="G86" s="4" t="s">
        <v>182</v>
      </c>
      <c r="H86" s="155"/>
      <c r="I86" s="157"/>
      <c r="J86" s="139"/>
      <c r="K86" s="2" t="s">
        <v>229</v>
      </c>
      <c r="L86" s="139"/>
    </row>
    <row r="87" spans="1:12">
      <c r="A87" s="139"/>
      <c r="B87" s="139"/>
      <c r="C87" s="2" t="s">
        <v>128</v>
      </c>
      <c r="D87" s="139"/>
      <c r="E87" s="155" t="s">
        <v>197</v>
      </c>
      <c r="F87" s="155">
        <v>40</v>
      </c>
      <c r="G87" s="4" t="s">
        <v>203</v>
      </c>
      <c r="H87" s="155">
        <v>11</v>
      </c>
      <c r="I87" s="157" t="s">
        <v>252</v>
      </c>
      <c r="J87" s="139">
        <v>60</v>
      </c>
      <c r="K87" s="2" t="s">
        <v>203</v>
      </c>
      <c r="L87" s="139">
        <v>16</v>
      </c>
    </row>
    <row r="88" spans="1:12">
      <c r="A88" s="139" t="s">
        <v>269</v>
      </c>
      <c r="B88" s="139">
        <v>40</v>
      </c>
      <c r="C88" s="2" t="s">
        <v>203</v>
      </c>
      <c r="D88" s="139">
        <v>12</v>
      </c>
      <c r="E88" s="155"/>
      <c r="F88" s="155"/>
      <c r="G88" s="4" t="s">
        <v>122</v>
      </c>
      <c r="H88" s="155"/>
      <c r="I88" s="157"/>
      <c r="J88" s="139"/>
      <c r="K88" s="2" t="s">
        <v>122</v>
      </c>
      <c r="L88" s="139"/>
    </row>
    <row r="89" spans="1:12">
      <c r="A89" s="139"/>
      <c r="B89" s="139"/>
      <c r="C89" s="2" t="s">
        <v>127</v>
      </c>
      <c r="D89" s="139"/>
      <c r="E89" s="155" t="s">
        <v>204</v>
      </c>
      <c r="F89" s="155">
        <v>40</v>
      </c>
      <c r="G89" s="4" t="s">
        <v>205</v>
      </c>
      <c r="H89" s="155">
        <v>11</v>
      </c>
      <c r="I89" s="157"/>
      <c r="J89" s="139"/>
      <c r="K89" s="2" t="s">
        <v>229</v>
      </c>
      <c r="L89" s="139"/>
    </row>
    <row r="90" spans="1:12">
      <c r="A90" s="139"/>
      <c r="B90" s="139"/>
      <c r="C90" s="2" t="s">
        <v>128</v>
      </c>
      <c r="D90" s="139"/>
      <c r="E90" s="155"/>
      <c r="F90" s="155"/>
      <c r="G90" s="4" t="s">
        <v>184</v>
      </c>
      <c r="H90" s="155"/>
      <c r="I90" s="157" t="s">
        <v>253</v>
      </c>
      <c r="J90" s="139">
        <v>70</v>
      </c>
      <c r="K90" s="2" t="s">
        <v>254</v>
      </c>
      <c r="L90" s="139">
        <v>18</v>
      </c>
    </row>
    <row r="91" spans="1:12">
      <c r="A91" s="139" t="s">
        <v>270</v>
      </c>
      <c r="B91" s="139">
        <v>50</v>
      </c>
      <c r="C91" s="2" t="s">
        <v>203</v>
      </c>
      <c r="D91" s="139">
        <v>15</v>
      </c>
      <c r="E91" s="155" t="s">
        <v>206</v>
      </c>
      <c r="F91" s="155">
        <v>50</v>
      </c>
      <c r="G91" s="4" t="s">
        <v>207</v>
      </c>
      <c r="H91" s="155">
        <v>13</v>
      </c>
      <c r="I91" s="157"/>
      <c r="J91" s="139"/>
      <c r="K91" s="2" t="s">
        <v>230</v>
      </c>
      <c r="L91" s="139"/>
    </row>
    <row r="92" spans="1:12">
      <c r="A92" s="139"/>
      <c r="B92" s="139"/>
      <c r="C92" s="2" t="s">
        <v>127</v>
      </c>
      <c r="D92" s="139"/>
      <c r="E92" s="155"/>
      <c r="F92" s="155"/>
      <c r="G92" s="4" t="s">
        <v>3828</v>
      </c>
      <c r="H92" s="155"/>
      <c r="I92" s="157"/>
      <c r="J92" s="139"/>
      <c r="K92" s="2" t="s">
        <v>122</v>
      </c>
      <c r="L92" s="139"/>
    </row>
    <row r="93" spans="1:12">
      <c r="A93" s="139"/>
      <c r="B93" s="139"/>
      <c r="C93" s="2" t="s">
        <v>3828</v>
      </c>
      <c r="D93" s="139"/>
      <c r="E93" s="155"/>
      <c r="F93" s="155"/>
      <c r="G93" s="4" t="s">
        <v>122</v>
      </c>
      <c r="H93" s="155"/>
      <c r="I93" s="157"/>
      <c r="J93" s="139"/>
      <c r="K93" s="2" t="s">
        <v>229</v>
      </c>
      <c r="L93" s="139"/>
    </row>
    <row r="94" spans="1:12">
      <c r="A94" s="139"/>
      <c r="B94" s="139"/>
      <c r="C94" s="2" t="s">
        <v>263</v>
      </c>
      <c r="D94" s="139"/>
      <c r="E94" s="155"/>
      <c r="F94" s="155"/>
      <c r="G94" s="4" t="s">
        <v>184</v>
      </c>
      <c r="H94" s="155"/>
      <c r="I94" s="157" t="s">
        <v>255</v>
      </c>
      <c r="J94" s="139">
        <v>80</v>
      </c>
      <c r="K94" s="2" t="s">
        <v>3862</v>
      </c>
      <c r="L94" s="139">
        <v>21</v>
      </c>
    </row>
    <row r="95" spans="1:12">
      <c r="A95" s="139" t="s">
        <v>271</v>
      </c>
      <c r="B95" s="139">
        <v>50</v>
      </c>
      <c r="C95" s="2" t="s">
        <v>207</v>
      </c>
      <c r="D95" s="139">
        <v>15</v>
      </c>
      <c r="E95" s="155" t="s">
        <v>208</v>
      </c>
      <c r="F95" s="155">
        <v>50</v>
      </c>
      <c r="G95" s="4" t="s">
        <v>3987</v>
      </c>
      <c r="H95" s="155">
        <v>13</v>
      </c>
      <c r="I95" s="157"/>
      <c r="J95" s="139"/>
      <c r="K95" s="2" t="s">
        <v>3847</v>
      </c>
      <c r="L95" s="139"/>
    </row>
    <row r="96" spans="1:12">
      <c r="A96" s="139"/>
      <c r="B96" s="139"/>
      <c r="C96" s="2" t="s">
        <v>3987</v>
      </c>
      <c r="D96" s="139"/>
      <c r="E96" s="155"/>
      <c r="F96" s="155"/>
      <c r="G96" s="4" t="s">
        <v>3828</v>
      </c>
      <c r="H96" s="155"/>
      <c r="I96" s="157"/>
      <c r="J96" s="139"/>
      <c r="K96" s="2" t="s">
        <v>3968</v>
      </c>
      <c r="L96" s="139"/>
    </row>
    <row r="97" spans="1:12">
      <c r="A97" s="139"/>
      <c r="B97" s="139"/>
      <c r="C97" s="2" t="s">
        <v>263</v>
      </c>
      <c r="D97" s="139"/>
      <c r="E97" s="155"/>
      <c r="F97" s="155"/>
      <c r="G97" s="4" t="s">
        <v>122</v>
      </c>
      <c r="H97" s="155"/>
      <c r="I97" s="157"/>
      <c r="J97" s="139"/>
      <c r="K97" s="2" t="s">
        <v>229</v>
      </c>
      <c r="L97" s="139"/>
    </row>
    <row r="98" spans="1:12">
      <c r="A98" s="139" t="s">
        <v>272</v>
      </c>
      <c r="B98" s="139">
        <v>55</v>
      </c>
      <c r="C98" s="2" t="s">
        <v>207</v>
      </c>
      <c r="D98" s="139">
        <v>16</v>
      </c>
      <c r="E98" s="155"/>
      <c r="F98" s="155"/>
      <c r="G98" s="4" t="s">
        <v>184</v>
      </c>
      <c r="H98" s="155"/>
      <c r="I98" s="157" t="s">
        <v>256</v>
      </c>
      <c r="J98" s="139">
        <v>90</v>
      </c>
      <c r="K98" s="2" t="s">
        <v>214</v>
      </c>
      <c r="L98" s="139">
        <v>24</v>
      </c>
    </row>
    <row r="99" spans="1:12">
      <c r="A99" s="139"/>
      <c r="B99" s="139"/>
      <c r="C99" s="2" t="s">
        <v>3987</v>
      </c>
      <c r="D99" s="139"/>
      <c r="E99" s="155" t="s">
        <v>209</v>
      </c>
      <c r="F99" s="155">
        <v>60</v>
      </c>
      <c r="G99" s="4" t="s">
        <v>210</v>
      </c>
      <c r="H99" s="155">
        <v>16</v>
      </c>
      <c r="I99" s="157"/>
      <c r="J99" s="139"/>
      <c r="K99" s="2" t="s">
        <v>3842</v>
      </c>
      <c r="L99" s="139"/>
    </row>
    <row r="100" spans="1:12">
      <c r="A100" s="139"/>
      <c r="B100" s="139"/>
      <c r="C100" s="2" t="s">
        <v>263</v>
      </c>
      <c r="D100" s="139"/>
      <c r="E100" s="155"/>
      <c r="F100" s="155"/>
      <c r="G100" s="4" t="s">
        <v>184</v>
      </c>
      <c r="H100" s="155"/>
      <c r="I100" s="157"/>
      <c r="J100" s="139"/>
      <c r="K100" s="2" t="s">
        <v>3968</v>
      </c>
      <c r="L100" s="139"/>
    </row>
    <row r="101" spans="1:12">
      <c r="A101" s="139" t="s">
        <v>273</v>
      </c>
      <c r="B101" s="139">
        <v>60</v>
      </c>
      <c r="C101" s="2" t="s">
        <v>3999</v>
      </c>
      <c r="D101" s="139">
        <v>18</v>
      </c>
      <c r="E101" s="155" t="s">
        <v>211</v>
      </c>
      <c r="F101" s="155">
        <v>65</v>
      </c>
      <c r="G101" s="4" t="s">
        <v>3892</v>
      </c>
      <c r="H101" s="155">
        <v>17</v>
      </c>
      <c r="I101" s="157"/>
      <c r="J101" s="139"/>
      <c r="K101" s="2" t="s">
        <v>229</v>
      </c>
      <c r="L101" s="139"/>
    </row>
    <row r="102" spans="1:12">
      <c r="A102" s="139"/>
      <c r="B102" s="139"/>
      <c r="C102" s="2" t="s">
        <v>263</v>
      </c>
      <c r="D102" s="139"/>
      <c r="E102" s="155"/>
      <c r="F102" s="155"/>
      <c r="G102" s="4" t="s">
        <v>122</v>
      </c>
      <c r="H102" s="155"/>
      <c r="I102" s="157" t="s">
        <v>257</v>
      </c>
      <c r="J102" s="139">
        <v>100</v>
      </c>
      <c r="K102" s="2" t="s">
        <v>3842</v>
      </c>
      <c r="L102" s="139">
        <v>26</v>
      </c>
    </row>
    <row r="103" spans="1:12">
      <c r="A103" s="139" t="s">
        <v>274</v>
      </c>
      <c r="B103" s="139">
        <v>70</v>
      </c>
      <c r="C103" s="2" t="s">
        <v>3892</v>
      </c>
      <c r="D103" s="139">
        <v>20</v>
      </c>
      <c r="E103" s="155"/>
      <c r="F103" s="155"/>
      <c r="G103" s="4" t="s">
        <v>184</v>
      </c>
      <c r="H103" s="155"/>
      <c r="I103" s="157"/>
      <c r="J103" s="139"/>
      <c r="K103" s="2" t="s">
        <v>1773</v>
      </c>
      <c r="L103" s="139"/>
    </row>
    <row r="104" spans="1:12">
      <c r="A104" s="139"/>
      <c r="B104" s="139"/>
      <c r="C104" s="2" t="s">
        <v>263</v>
      </c>
      <c r="D104" s="139"/>
      <c r="E104" s="155" t="s">
        <v>212</v>
      </c>
      <c r="F104" s="155">
        <v>70</v>
      </c>
      <c r="G104" s="4" t="s">
        <v>131</v>
      </c>
      <c r="H104" s="155">
        <v>18</v>
      </c>
      <c r="I104" s="157"/>
      <c r="J104" s="139"/>
      <c r="K104" s="2" t="s">
        <v>229</v>
      </c>
      <c r="L104" s="139"/>
    </row>
    <row r="105" spans="1:12">
      <c r="A105" s="139" t="s">
        <v>140</v>
      </c>
      <c r="B105" s="139">
        <v>80</v>
      </c>
      <c r="C105" s="2" t="s">
        <v>131</v>
      </c>
      <c r="D105" s="139">
        <v>24</v>
      </c>
      <c r="E105" s="155"/>
      <c r="F105" s="155"/>
      <c r="G105" s="4" t="s">
        <v>122</v>
      </c>
      <c r="H105" s="155"/>
      <c r="I105" s="157" t="s">
        <v>258</v>
      </c>
      <c r="J105" s="139">
        <v>110</v>
      </c>
      <c r="K105" s="2" t="s">
        <v>3830</v>
      </c>
      <c r="L105" s="139">
        <v>28</v>
      </c>
    </row>
    <row r="106" spans="1:12">
      <c r="A106" s="139"/>
      <c r="B106" s="139"/>
      <c r="C106" s="2" t="s">
        <v>3911</v>
      </c>
      <c r="D106" s="139"/>
      <c r="E106" s="155"/>
      <c r="F106" s="155"/>
      <c r="G106" s="4" t="s">
        <v>184</v>
      </c>
      <c r="H106" s="155"/>
      <c r="I106" s="157"/>
      <c r="J106" s="139"/>
      <c r="K106" s="2" t="s">
        <v>229</v>
      </c>
      <c r="L106" s="139"/>
    </row>
    <row r="107" spans="1:12">
      <c r="A107" s="139" t="s">
        <v>141</v>
      </c>
      <c r="B107" s="139">
        <v>85</v>
      </c>
      <c r="C107" s="2" t="s">
        <v>3862</v>
      </c>
      <c r="D107" s="139">
        <v>25</v>
      </c>
      <c r="E107" s="155" t="s">
        <v>213</v>
      </c>
      <c r="F107" s="155">
        <v>80</v>
      </c>
      <c r="G107" s="4" t="s">
        <v>214</v>
      </c>
      <c r="H107" s="155">
        <v>21</v>
      </c>
      <c r="I107" s="21" t="s">
        <v>259</v>
      </c>
      <c r="J107" s="2">
        <v>120</v>
      </c>
      <c r="K107" s="2" t="s">
        <v>3830</v>
      </c>
      <c r="L107" s="2">
        <v>31</v>
      </c>
    </row>
    <row r="108" spans="1:12">
      <c r="A108" s="139"/>
      <c r="B108" s="139"/>
      <c r="C108" s="2" t="s">
        <v>3837</v>
      </c>
      <c r="D108" s="139"/>
      <c r="E108" s="155"/>
      <c r="F108" s="155"/>
      <c r="G108" s="4" t="s">
        <v>3751</v>
      </c>
      <c r="H108" s="155"/>
      <c r="I108" s="157" t="s">
        <v>260</v>
      </c>
      <c r="J108" s="139">
        <v>130</v>
      </c>
      <c r="K108" s="2" t="s">
        <v>3830</v>
      </c>
      <c r="L108" s="139">
        <v>33</v>
      </c>
    </row>
    <row r="109" spans="1:12">
      <c r="A109" s="139"/>
      <c r="B109" s="139"/>
      <c r="C109" s="2" t="s">
        <v>3911</v>
      </c>
      <c r="D109" s="139"/>
      <c r="E109" s="155"/>
      <c r="F109" s="155"/>
      <c r="G109" s="4" t="s">
        <v>3842</v>
      </c>
      <c r="H109" s="155"/>
      <c r="I109" s="157"/>
      <c r="J109" s="139"/>
      <c r="K109" s="2" t="s">
        <v>229</v>
      </c>
      <c r="L109" s="139"/>
    </row>
    <row r="110" spans="1:12">
      <c r="A110" s="139"/>
      <c r="B110" s="139"/>
      <c r="C110" s="2" t="s">
        <v>159</v>
      </c>
      <c r="D110" s="139"/>
      <c r="E110" s="155"/>
      <c r="F110" s="155"/>
      <c r="G110" s="4" t="s">
        <v>184</v>
      </c>
      <c r="H110" s="155"/>
      <c r="I110" s="21" t="s">
        <v>1768</v>
      </c>
      <c r="J110" s="4">
        <v>140</v>
      </c>
      <c r="K110" s="2" t="s">
        <v>2286</v>
      </c>
      <c r="L110" s="2"/>
    </row>
    <row r="111" spans="1:12">
      <c r="A111" s="139" t="s">
        <v>142</v>
      </c>
      <c r="B111" s="139">
        <v>90</v>
      </c>
      <c r="C111" s="2" t="s">
        <v>3862</v>
      </c>
      <c r="D111" s="139">
        <v>27</v>
      </c>
      <c r="E111" s="155" t="s">
        <v>215</v>
      </c>
      <c r="F111" s="155">
        <v>90</v>
      </c>
      <c r="G111" s="4" t="s">
        <v>214</v>
      </c>
      <c r="H111" s="155">
        <v>24</v>
      </c>
      <c r="I111" s="21" t="s">
        <v>1769</v>
      </c>
      <c r="J111" s="4">
        <v>150</v>
      </c>
      <c r="K111" s="2" t="s">
        <v>2286</v>
      </c>
      <c r="L111" s="2"/>
    </row>
    <row r="112" spans="1:12">
      <c r="A112" s="139"/>
      <c r="B112" s="139"/>
      <c r="C112" s="2" t="s">
        <v>3837</v>
      </c>
      <c r="D112" s="139"/>
      <c r="E112" s="155"/>
      <c r="F112" s="155"/>
      <c r="G112" s="4" t="s">
        <v>185</v>
      </c>
      <c r="H112" s="155"/>
      <c r="I112" s="21" t="s">
        <v>1770</v>
      </c>
      <c r="J112" s="4">
        <v>160</v>
      </c>
      <c r="K112" s="2" t="s">
        <v>2286</v>
      </c>
      <c r="L112" s="2"/>
    </row>
    <row r="113" spans="1:12">
      <c r="A113" s="139"/>
      <c r="B113" s="139"/>
      <c r="C113" s="2" t="s">
        <v>3751</v>
      </c>
      <c r="D113" s="139"/>
      <c r="E113" s="155"/>
      <c r="F113" s="155"/>
      <c r="G113" s="4" t="s">
        <v>182</v>
      </c>
      <c r="H113" s="155"/>
      <c r="I113" s="21" t="s">
        <v>2742</v>
      </c>
      <c r="J113" s="4">
        <v>170</v>
      </c>
      <c r="K113" s="2" t="s">
        <v>1848</v>
      </c>
      <c r="L113" s="2"/>
    </row>
    <row r="114" spans="1:12">
      <c r="A114" s="139"/>
      <c r="B114" s="139"/>
      <c r="C114" s="2" t="s">
        <v>3911</v>
      </c>
      <c r="D114" s="139"/>
      <c r="E114" s="155"/>
      <c r="F114" s="155"/>
      <c r="G114" s="4" t="s">
        <v>184</v>
      </c>
      <c r="H114" s="155"/>
      <c r="I114" s="21" t="s">
        <v>2743</v>
      </c>
      <c r="J114" s="4">
        <v>180</v>
      </c>
      <c r="K114" s="2" t="s">
        <v>1848</v>
      </c>
      <c r="L114" s="2"/>
    </row>
    <row r="115" spans="1:12">
      <c r="A115" s="139"/>
      <c r="B115" s="139"/>
      <c r="C115" s="2" t="s">
        <v>159</v>
      </c>
      <c r="D115" s="139"/>
      <c r="E115" s="155" t="s">
        <v>216</v>
      </c>
      <c r="F115" s="155">
        <v>100</v>
      </c>
      <c r="G115" s="4" t="s">
        <v>3842</v>
      </c>
      <c r="H115" s="155">
        <v>26</v>
      </c>
    </row>
    <row r="116" spans="1:12">
      <c r="A116" s="139" t="s">
        <v>143</v>
      </c>
      <c r="B116" s="139">
        <v>100</v>
      </c>
      <c r="C116" s="2" t="s">
        <v>3862</v>
      </c>
      <c r="D116" s="139">
        <v>30</v>
      </c>
      <c r="E116" s="155"/>
      <c r="F116" s="155"/>
      <c r="G116" s="4" t="s">
        <v>162</v>
      </c>
      <c r="H116" s="155"/>
    </row>
    <row r="117" spans="1:12">
      <c r="A117" s="139"/>
      <c r="B117" s="139"/>
      <c r="C117" s="2" t="s">
        <v>3837</v>
      </c>
      <c r="D117" s="139"/>
      <c r="E117" s="155"/>
      <c r="F117" s="155"/>
      <c r="G117" s="4" t="s">
        <v>186</v>
      </c>
      <c r="H117" s="155"/>
    </row>
    <row r="118" spans="1:12">
      <c r="A118" s="139"/>
      <c r="B118" s="139"/>
      <c r="C118" s="2" t="s">
        <v>3842</v>
      </c>
      <c r="D118" s="139"/>
      <c r="E118" s="155"/>
      <c r="F118" s="155"/>
      <c r="G118" s="4" t="s">
        <v>184</v>
      </c>
      <c r="H118" s="155"/>
    </row>
    <row r="119" spans="1:12">
      <c r="A119" s="139"/>
      <c r="B119" s="139"/>
      <c r="C119" s="2" t="s">
        <v>186</v>
      </c>
      <c r="D119" s="139"/>
      <c r="E119" s="155" t="s">
        <v>217</v>
      </c>
      <c r="F119" s="155">
        <v>110</v>
      </c>
      <c r="G119" s="4" t="s">
        <v>3765</v>
      </c>
      <c r="H119" s="155">
        <v>28</v>
      </c>
    </row>
    <row r="120" spans="1:12">
      <c r="A120" s="139"/>
      <c r="B120" s="139"/>
      <c r="C120" s="2" t="s">
        <v>3911</v>
      </c>
      <c r="D120" s="139"/>
      <c r="E120" s="155"/>
      <c r="F120" s="155"/>
      <c r="G120" s="4" t="s">
        <v>184</v>
      </c>
      <c r="H120" s="155"/>
    </row>
    <row r="121" spans="1:12">
      <c r="A121" s="139"/>
      <c r="B121" s="139"/>
      <c r="C121" s="2" t="s">
        <v>159</v>
      </c>
      <c r="D121" s="139"/>
      <c r="E121" s="155" t="s">
        <v>218</v>
      </c>
      <c r="F121" s="155">
        <v>120</v>
      </c>
      <c r="G121" s="4" t="s">
        <v>3765</v>
      </c>
      <c r="H121" s="155">
        <v>31</v>
      </c>
    </row>
    <row r="122" spans="1:12">
      <c r="A122" s="139" t="s">
        <v>275</v>
      </c>
      <c r="B122" s="139">
        <v>110</v>
      </c>
      <c r="C122" s="2" t="s">
        <v>3789</v>
      </c>
      <c r="D122" s="139">
        <v>32</v>
      </c>
      <c r="E122" s="155"/>
      <c r="F122" s="155"/>
      <c r="G122" s="4" t="s">
        <v>184</v>
      </c>
      <c r="H122" s="155"/>
    </row>
    <row r="123" spans="1:12">
      <c r="A123" s="139"/>
      <c r="B123" s="139"/>
      <c r="C123" s="2" t="s">
        <v>159</v>
      </c>
      <c r="D123" s="139"/>
      <c r="E123" s="155" t="s">
        <v>219</v>
      </c>
      <c r="F123" s="155">
        <v>130</v>
      </c>
      <c r="G123" s="4" t="s">
        <v>3765</v>
      </c>
      <c r="H123" s="155">
        <v>33</v>
      </c>
    </row>
    <row r="124" spans="1:12">
      <c r="A124" s="139" t="s">
        <v>276</v>
      </c>
      <c r="B124" s="139">
        <v>120</v>
      </c>
      <c r="C124" s="2" t="s">
        <v>3789</v>
      </c>
      <c r="D124" s="139">
        <v>35</v>
      </c>
      <c r="E124" s="155"/>
      <c r="F124" s="155"/>
      <c r="G124" s="4" t="s">
        <v>184</v>
      </c>
      <c r="H124" s="155"/>
    </row>
    <row r="125" spans="1:12">
      <c r="A125" s="139"/>
      <c r="B125" s="139"/>
      <c r="C125" s="2" t="s">
        <v>159</v>
      </c>
      <c r="D125" s="139"/>
      <c r="E125" s="2" t="s">
        <v>1762</v>
      </c>
      <c r="F125" s="4">
        <v>140</v>
      </c>
      <c r="G125" s="2" t="s">
        <v>2287</v>
      </c>
      <c r="H125" s="2"/>
    </row>
    <row r="126" spans="1:12">
      <c r="A126" s="139" t="s">
        <v>277</v>
      </c>
      <c r="B126" s="139">
        <v>130</v>
      </c>
      <c r="C126" s="2" t="s">
        <v>3789</v>
      </c>
      <c r="D126" s="139">
        <v>38</v>
      </c>
      <c r="E126" s="2" t="s">
        <v>1763</v>
      </c>
      <c r="F126" s="4">
        <v>150</v>
      </c>
      <c r="G126" s="2" t="s">
        <v>2287</v>
      </c>
      <c r="H126" s="2"/>
    </row>
    <row r="127" spans="1:12">
      <c r="A127" s="139"/>
      <c r="B127" s="139"/>
      <c r="C127" s="2" t="s">
        <v>159</v>
      </c>
      <c r="D127" s="139"/>
      <c r="E127" s="2" t="s">
        <v>1764</v>
      </c>
      <c r="F127" s="4">
        <v>160</v>
      </c>
      <c r="G127" s="2" t="s">
        <v>2287</v>
      </c>
      <c r="H127" s="2"/>
    </row>
    <row r="128" spans="1:12">
      <c r="A128" s="2" t="s">
        <v>1756</v>
      </c>
      <c r="B128" s="2">
        <v>140</v>
      </c>
      <c r="C128" s="2" t="s">
        <v>2288</v>
      </c>
      <c r="D128" s="2"/>
      <c r="E128" s="2" t="s">
        <v>2739</v>
      </c>
      <c r="F128" s="4">
        <v>170</v>
      </c>
      <c r="G128" s="2" t="s">
        <v>2741</v>
      </c>
      <c r="H128" s="2"/>
    </row>
    <row r="129" spans="1:8">
      <c r="A129" s="2" t="s">
        <v>1757</v>
      </c>
      <c r="B129" s="2">
        <v>150</v>
      </c>
      <c r="C129" s="2" t="s">
        <v>2288</v>
      </c>
      <c r="D129" s="2"/>
      <c r="E129" s="2" t="s">
        <v>2740</v>
      </c>
      <c r="F129" s="4">
        <v>180</v>
      </c>
      <c r="G129" s="2" t="s">
        <v>2741</v>
      </c>
      <c r="H129" s="2"/>
    </row>
    <row r="130" spans="1:8">
      <c r="A130" s="2" t="s">
        <v>1758</v>
      </c>
      <c r="B130" s="2">
        <v>160</v>
      </c>
      <c r="C130" s="2" t="s">
        <v>2288</v>
      </c>
      <c r="D130" s="2"/>
    </row>
    <row r="131" spans="1:8">
      <c r="A131" s="2" t="s">
        <v>1849</v>
      </c>
      <c r="B131" s="2">
        <v>170</v>
      </c>
      <c r="C131" s="2" t="s">
        <v>1850</v>
      </c>
      <c r="D131" s="2"/>
    </row>
    <row r="132" spans="1:8">
      <c r="A132" s="139" t="s">
        <v>1851</v>
      </c>
      <c r="B132" s="139">
        <v>180</v>
      </c>
      <c r="C132" s="2" t="s">
        <v>1850</v>
      </c>
      <c r="D132" s="139"/>
    </row>
    <row r="133" spans="1:8">
      <c r="A133" s="139"/>
      <c r="B133" s="139"/>
      <c r="C133" s="2" t="s">
        <v>1852</v>
      </c>
      <c r="D133" s="139"/>
    </row>
  </sheetData>
  <mergeCells count="304">
    <mergeCell ref="A1:L1"/>
    <mergeCell ref="L60:L62"/>
    <mergeCell ref="L63:L66"/>
    <mergeCell ref="L67:L69"/>
    <mergeCell ref="L57:L59"/>
    <mergeCell ref="I67:I69"/>
    <mergeCell ref="J67:J69"/>
    <mergeCell ref="D69:D74"/>
    <mergeCell ref="B61:B63"/>
    <mergeCell ref="B64:B68"/>
    <mergeCell ref="I56:L56"/>
    <mergeCell ref="I63:I66"/>
    <mergeCell ref="J57:J59"/>
    <mergeCell ref="J60:J62"/>
    <mergeCell ref="J63:J66"/>
    <mergeCell ref="I60:I62"/>
    <mergeCell ref="I57:I59"/>
    <mergeCell ref="A69:A74"/>
    <mergeCell ref="B69:B74"/>
    <mergeCell ref="E56:H56"/>
    <mergeCell ref="H57:H58"/>
    <mergeCell ref="H59:H60"/>
    <mergeCell ref="H61:H65"/>
    <mergeCell ref="H66:H69"/>
    <mergeCell ref="L70:L73"/>
    <mergeCell ref="L74:L76"/>
    <mergeCell ref="L77:L78"/>
    <mergeCell ref="L81:L83"/>
    <mergeCell ref="L87:L89"/>
    <mergeCell ref="L84:L86"/>
    <mergeCell ref="J87:J89"/>
    <mergeCell ref="I87:I89"/>
    <mergeCell ref="L90:L93"/>
    <mergeCell ref="J70:J73"/>
    <mergeCell ref="I70:I73"/>
    <mergeCell ref="J74:J76"/>
    <mergeCell ref="I74:I76"/>
    <mergeCell ref="I77:I78"/>
    <mergeCell ref="J77:J78"/>
    <mergeCell ref="L108:L109"/>
    <mergeCell ref="I108:I109"/>
    <mergeCell ref="L98:L101"/>
    <mergeCell ref="L102:L104"/>
    <mergeCell ref="L105:L106"/>
    <mergeCell ref="J81:J83"/>
    <mergeCell ref="I81:I83"/>
    <mergeCell ref="I84:I86"/>
    <mergeCell ref="J84:J86"/>
    <mergeCell ref="J102:J104"/>
    <mergeCell ref="I102:I104"/>
    <mergeCell ref="J105:J106"/>
    <mergeCell ref="I105:I106"/>
    <mergeCell ref="J98:J101"/>
    <mergeCell ref="I98:I101"/>
    <mergeCell ref="I90:I93"/>
    <mergeCell ref="J90:J93"/>
    <mergeCell ref="J94:J97"/>
    <mergeCell ref="I94:I97"/>
    <mergeCell ref="L94:L97"/>
    <mergeCell ref="A132:A133"/>
    <mergeCell ref="B132:B133"/>
    <mergeCell ref="D132:D133"/>
    <mergeCell ref="D126:D127"/>
    <mergeCell ref="B126:B127"/>
    <mergeCell ref="J108:J109"/>
    <mergeCell ref="A56:D56"/>
    <mergeCell ref="D57:D60"/>
    <mergeCell ref="D61:D63"/>
    <mergeCell ref="D64:D68"/>
    <mergeCell ref="B57:B60"/>
    <mergeCell ref="A57:A60"/>
    <mergeCell ref="A61:A63"/>
    <mergeCell ref="A64:A68"/>
    <mergeCell ref="A126:A127"/>
    <mergeCell ref="D88:D90"/>
    <mergeCell ref="D91:D94"/>
    <mergeCell ref="D95:D97"/>
    <mergeCell ref="D98:D100"/>
    <mergeCell ref="D105:D106"/>
    <mergeCell ref="D107:D110"/>
    <mergeCell ref="D101:D102"/>
    <mergeCell ref="D103:D104"/>
    <mergeCell ref="A98:A100"/>
    <mergeCell ref="A91:A94"/>
    <mergeCell ref="B105:B106"/>
    <mergeCell ref="A84:A87"/>
    <mergeCell ref="A101:A102"/>
    <mergeCell ref="B101:B102"/>
    <mergeCell ref="D75:D79"/>
    <mergeCell ref="D80:D83"/>
    <mergeCell ref="D84:D87"/>
    <mergeCell ref="B84:B87"/>
    <mergeCell ref="A88:A90"/>
    <mergeCell ref="B91:B94"/>
    <mergeCell ref="A95:A97"/>
    <mergeCell ref="A105:A106"/>
    <mergeCell ref="A75:A79"/>
    <mergeCell ref="B75:B79"/>
    <mergeCell ref="B95:B97"/>
    <mergeCell ref="B88:B90"/>
    <mergeCell ref="A103:A104"/>
    <mergeCell ref="B103:B104"/>
    <mergeCell ref="B98:B100"/>
    <mergeCell ref="A80:A83"/>
    <mergeCell ref="B80:B83"/>
    <mergeCell ref="H121:H122"/>
    <mergeCell ref="H123:H124"/>
    <mergeCell ref="A111:A115"/>
    <mergeCell ref="D122:D123"/>
    <mergeCell ref="D111:D115"/>
    <mergeCell ref="D116:D121"/>
    <mergeCell ref="D124:D125"/>
    <mergeCell ref="A107:A110"/>
    <mergeCell ref="E123:E124"/>
    <mergeCell ref="F123:F124"/>
    <mergeCell ref="E121:E122"/>
    <mergeCell ref="F121:F122"/>
    <mergeCell ref="E111:E114"/>
    <mergeCell ref="E119:E120"/>
    <mergeCell ref="B111:B115"/>
    <mergeCell ref="B116:B121"/>
    <mergeCell ref="A116:A121"/>
    <mergeCell ref="B107:B110"/>
    <mergeCell ref="B124:B125"/>
    <mergeCell ref="A124:A125"/>
    <mergeCell ref="B122:B123"/>
    <mergeCell ref="A122:A123"/>
    <mergeCell ref="H89:H90"/>
    <mergeCell ref="H91:H94"/>
    <mergeCell ref="H95:H98"/>
    <mergeCell ref="H99:H100"/>
    <mergeCell ref="H101:H103"/>
    <mergeCell ref="H104:H106"/>
    <mergeCell ref="H107:H110"/>
    <mergeCell ref="H119:H120"/>
    <mergeCell ref="H115:H118"/>
    <mergeCell ref="H111:H114"/>
    <mergeCell ref="H70:H71"/>
    <mergeCell ref="H72:H74"/>
    <mergeCell ref="H75:H78"/>
    <mergeCell ref="H79:H80"/>
    <mergeCell ref="F99:F100"/>
    <mergeCell ref="E95:E98"/>
    <mergeCell ref="F61:F65"/>
    <mergeCell ref="F66:F69"/>
    <mergeCell ref="E57:E58"/>
    <mergeCell ref="E59:E60"/>
    <mergeCell ref="F57:F58"/>
    <mergeCell ref="F59:F60"/>
    <mergeCell ref="F70:F71"/>
    <mergeCell ref="F72:F74"/>
    <mergeCell ref="F75:F78"/>
    <mergeCell ref="F79:F80"/>
    <mergeCell ref="F81:F84"/>
    <mergeCell ref="F85:F86"/>
    <mergeCell ref="F87:F88"/>
    <mergeCell ref="F89:F90"/>
    <mergeCell ref="F91:F94"/>
    <mergeCell ref="H81:H84"/>
    <mergeCell ref="H85:H86"/>
    <mergeCell ref="H87:H88"/>
    <mergeCell ref="I42:I45"/>
    <mergeCell ref="E104:E106"/>
    <mergeCell ref="F119:F120"/>
    <mergeCell ref="E115:E118"/>
    <mergeCell ref="F115:F118"/>
    <mergeCell ref="F104:F106"/>
    <mergeCell ref="F111:F114"/>
    <mergeCell ref="E107:E110"/>
    <mergeCell ref="F107:F110"/>
    <mergeCell ref="E91:E94"/>
    <mergeCell ref="E89:E90"/>
    <mergeCell ref="E79:E80"/>
    <mergeCell ref="E81:E84"/>
    <mergeCell ref="E87:E88"/>
    <mergeCell ref="E85:E86"/>
    <mergeCell ref="E61:E65"/>
    <mergeCell ref="E66:E69"/>
    <mergeCell ref="E70:E71"/>
    <mergeCell ref="E72:E74"/>
    <mergeCell ref="E75:E78"/>
    <mergeCell ref="E101:E103"/>
    <mergeCell ref="F101:F103"/>
    <mergeCell ref="E99:E100"/>
    <mergeCell ref="F95:F98"/>
    <mergeCell ref="L42:L45"/>
    <mergeCell ref="L29:L32"/>
    <mergeCell ref="L33:L35"/>
    <mergeCell ref="L36:L38"/>
    <mergeCell ref="L39:L41"/>
    <mergeCell ref="J42:J45"/>
    <mergeCell ref="J33:J35"/>
    <mergeCell ref="J36:J38"/>
    <mergeCell ref="J39:J41"/>
    <mergeCell ref="I39:I41"/>
    <mergeCell ref="L11:L15"/>
    <mergeCell ref="L16:L21"/>
    <mergeCell ref="L22:L25"/>
    <mergeCell ref="L26:L28"/>
    <mergeCell ref="J29:J32"/>
    <mergeCell ref="I36:I38"/>
    <mergeCell ref="I33:I35"/>
    <mergeCell ref="I26:I28"/>
    <mergeCell ref="J26:J28"/>
    <mergeCell ref="I22:I25"/>
    <mergeCell ref="I16:I21"/>
    <mergeCell ref="J22:J25"/>
    <mergeCell ref="J11:J15"/>
    <mergeCell ref="J16:J21"/>
    <mergeCell ref="I11:I15"/>
    <mergeCell ref="I29:I32"/>
    <mergeCell ref="E2:H2"/>
    <mergeCell ref="H3:H5"/>
    <mergeCell ref="H6:H8"/>
    <mergeCell ref="H9:H11"/>
    <mergeCell ref="E3:E5"/>
    <mergeCell ref="I2:L2"/>
    <mergeCell ref="L3:L6"/>
    <mergeCell ref="L7:L10"/>
    <mergeCell ref="J3:J6"/>
    <mergeCell ref="I3:I6"/>
    <mergeCell ref="J7:J10"/>
    <mergeCell ref="I7:I10"/>
    <mergeCell ref="F3:F5"/>
    <mergeCell ref="E6:E8"/>
    <mergeCell ref="F6:F8"/>
    <mergeCell ref="F9:F11"/>
    <mergeCell ref="H12:H13"/>
    <mergeCell ref="H14:H15"/>
    <mergeCell ref="H16:H17"/>
    <mergeCell ref="H18:H19"/>
    <mergeCell ref="E9:E11"/>
    <mergeCell ref="E12:E13"/>
    <mergeCell ref="E14:E15"/>
    <mergeCell ref="E16:E17"/>
    <mergeCell ref="H20:H22"/>
    <mergeCell ref="E18:E19"/>
    <mergeCell ref="F12:F13"/>
    <mergeCell ref="F14:F15"/>
    <mergeCell ref="F16:F17"/>
    <mergeCell ref="F18:F19"/>
    <mergeCell ref="E44:E45"/>
    <mergeCell ref="F44:F45"/>
    <mergeCell ref="H42:H43"/>
    <mergeCell ref="H44:H45"/>
    <mergeCell ref="E42:E43"/>
    <mergeCell ref="F42:F43"/>
    <mergeCell ref="E20:E22"/>
    <mergeCell ref="F20:F22"/>
    <mergeCell ref="E23:E26"/>
    <mergeCell ref="F23:F26"/>
    <mergeCell ref="H36:H39"/>
    <mergeCell ref="H40:H41"/>
    <mergeCell ref="H23:H26"/>
    <mergeCell ref="H27:H30"/>
    <mergeCell ref="H31:H32"/>
    <mergeCell ref="H33:H35"/>
    <mergeCell ref="D37:D40"/>
    <mergeCell ref="E40:E41"/>
    <mergeCell ref="F40:F41"/>
    <mergeCell ref="E33:E35"/>
    <mergeCell ref="F33:F35"/>
    <mergeCell ref="E36:E39"/>
    <mergeCell ref="F36:F39"/>
    <mergeCell ref="E27:E30"/>
    <mergeCell ref="F27:F30"/>
    <mergeCell ref="E31:E32"/>
    <mergeCell ref="F31:F32"/>
    <mergeCell ref="A3:A4"/>
    <mergeCell ref="A5:A6"/>
    <mergeCell ref="A7:A9"/>
    <mergeCell ref="A33:A36"/>
    <mergeCell ref="A10:A13"/>
    <mergeCell ref="A14:A17"/>
    <mergeCell ref="A2:D2"/>
    <mergeCell ref="D10:D13"/>
    <mergeCell ref="D14:D17"/>
    <mergeCell ref="D18:D19"/>
    <mergeCell ref="D20:D22"/>
    <mergeCell ref="D23:D24"/>
    <mergeCell ref="D3:D4"/>
    <mergeCell ref="D5:D6"/>
    <mergeCell ref="D7:D9"/>
    <mergeCell ref="B3:B4"/>
    <mergeCell ref="D29:D32"/>
    <mergeCell ref="D25:D28"/>
    <mergeCell ref="D33:D36"/>
    <mergeCell ref="A37:A40"/>
    <mergeCell ref="B37:B40"/>
    <mergeCell ref="B33:B36"/>
    <mergeCell ref="B5:B6"/>
    <mergeCell ref="B7:B9"/>
    <mergeCell ref="B10:B13"/>
    <mergeCell ref="B14:B17"/>
    <mergeCell ref="B23:B24"/>
    <mergeCell ref="A23:A24"/>
    <mergeCell ref="B25:B28"/>
    <mergeCell ref="B29:B32"/>
    <mergeCell ref="A18:A19"/>
    <mergeCell ref="A20:A22"/>
    <mergeCell ref="B18:B19"/>
    <mergeCell ref="B20:B22"/>
    <mergeCell ref="A25:A28"/>
    <mergeCell ref="A29:A32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171"/>
  <sheetViews>
    <sheetView workbookViewId="0">
      <pane xSplit="1" ySplit="1" topLeftCell="B141" activePane="bottomRight" state="frozen"/>
      <selection pane="topRight" activeCell="B1" sqref="B1"/>
      <selection pane="bottomLeft" activeCell="A2" sqref="A2"/>
      <selection pane="bottomRight" activeCell="M166" sqref="M166"/>
    </sheetView>
  </sheetViews>
  <sheetFormatPr defaultRowHeight="14.25"/>
  <cols>
    <col min="1" max="1" width="4.25" style="9" bestFit="1" customWidth="1"/>
    <col min="2" max="2" width="11.375" style="9" bestFit="1" customWidth="1"/>
    <col min="3" max="3" width="4.125" style="9" bestFit="1" customWidth="1"/>
    <col min="4" max="4" width="11.375" style="9" bestFit="1" customWidth="1"/>
    <col min="5" max="5" width="3.25" style="9" bestFit="1" customWidth="1"/>
    <col min="6" max="6" width="11.375" style="9" customWidth="1"/>
    <col min="7" max="7" width="3.25" style="9" bestFit="1" customWidth="1"/>
    <col min="8" max="8" width="11.375" style="9" customWidth="1"/>
    <col min="9" max="9" width="3.25" style="9" customWidth="1"/>
    <col min="10" max="10" width="15.25" style="9" bestFit="1" customWidth="1"/>
    <col min="11" max="11" width="9.75" style="9" bestFit="1" customWidth="1"/>
    <col min="12" max="16384" width="9" style="9"/>
  </cols>
  <sheetData>
    <row r="1" spans="1:11" ht="33">
      <c r="A1" s="142" t="s">
        <v>1856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>
      <c r="A2" s="160" t="s">
        <v>4068</v>
      </c>
      <c r="B2" s="14" t="s">
        <v>297</v>
      </c>
      <c r="C2" s="14">
        <v>1</v>
      </c>
      <c r="D2" s="14" t="s">
        <v>231</v>
      </c>
      <c r="E2" s="14">
        <v>2</v>
      </c>
      <c r="F2" s="14"/>
      <c r="G2" s="14"/>
      <c r="H2" s="14"/>
      <c r="I2" s="14"/>
      <c r="J2" s="14"/>
      <c r="K2" s="14"/>
    </row>
    <row r="3" spans="1:11">
      <c r="A3" s="160"/>
      <c r="B3" s="14" t="s">
        <v>298</v>
      </c>
      <c r="C3" s="14">
        <v>5</v>
      </c>
      <c r="D3" s="14" t="s">
        <v>237</v>
      </c>
      <c r="E3" s="14">
        <v>2</v>
      </c>
      <c r="F3" s="14"/>
      <c r="G3" s="14"/>
      <c r="H3" s="14"/>
      <c r="I3" s="14"/>
      <c r="J3" s="14"/>
      <c r="K3" s="14"/>
    </row>
    <row r="4" spans="1:11">
      <c r="A4" s="160"/>
      <c r="B4" s="14" t="s">
        <v>299</v>
      </c>
      <c r="C4" s="14">
        <v>10</v>
      </c>
      <c r="D4" s="14" t="s">
        <v>233</v>
      </c>
      <c r="E4" s="14">
        <v>5</v>
      </c>
      <c r="F4" s="14" t="s">
        <v>231</v>
      </c>
      <c r="G4" s="14">
        <v>4</v>
      </c>
      <c r="H4" s="14"/>
      <c r="I4" s="14"/>
      <c r="J4" s="14"/>
      <c r="K4" s="14"/>
    </row>
    <row r="5" spans="1:11">
      <c r="A5" s="160"/>
      <c r="B5" s="14" t="s">
        <v>300</v>
      </c>
      <c r="C5" s="14">
        <v>15</v>
      </c>
      <c r="D5" s="14" t="s">
        <v>231</v>
      </c>
      <c r="E5" s="14">
        <v>10</v>
      </c>
      <c r="F5" s="14"/>
      <c r="G5" s="14"/>
      <c r="H5" s="14"/>
      <c r="I5" s="14"/>
      <c r="J5" s="14"/>
      <c r="K5" s="14"/>
    </row>
    <row r="6" spans="1:11">
      <c r="A6" s="160"/>
      <c r="B6" s="14" t="s">
        <v>301</v>
      </c>
      <c r="C6" s="14">
        <v>20</v>
      </c>
      <c r="D6" s="14" t="s">
        <v>241</v>
      </c>
      <c r="E6" s="14">
        <v>2</v>
      </c>
      <c r="F6" s="14"/>
      <c r="G6" s="14"/>
      <c r="H6" s="14"/>
      <c r="I6" s="14"/>
      <c r="J6" s="14"/>
      <c r="K6" s="14"/>
    </row>
    <row r="7" spans="1:11">
      <c r="A7" s="160"/>
      <c r="B7" s="14" t="s">
        <v>302</v>
      </c>
      <c r="C7" s="14">
        <v>25</v>
      </c>
      <c r="D7" s="14" t="s">
        <v>237</v>
      </c>
      <c r="E7" s="14">
        <v>2</v>
      </c>
      <c r="F7" s="14" t="s">
        <v>241</v>
      </c>
      <c r="G7" s="14">
        <v>1</v>
      </c>
      <c r="H7" s="14"/>
      <c r="I7" s="14"/>
      <c r="J7" s="14"/>
      <c r="K7" s="14"/>
    </row>
    <row r="8" spans="1:11">
      <c r="A8" s="160"/>
      <c r="B8" s="14" t="s">
        <v>303</v>
      </c>
      <c r="C8" s="14">
        <v>30</v>
      </c>
      <c r="D8" s="14" t="s">
        <v>304</v>
      </c>
      <c r="E8" s="14">
        <v>2</v>
      </c>
      <c r="F8" s="14"/>
      <c r="G8" s="14"/>
      <c r="H8" s="14"/>
      <c r="I8" s="14"/>
      <c r="J8" s="14"/>
      <c r="K8" s="14"/>
    </row>
    <row r="9" spans="1:11">
      <c r="A9" s="160"/>
      <c r="B9" s="14" t="s">
        <v>305</v>
      </c>
      <c r="C9" s="14">
        <v>40</v>
      </c>
      <c r="D9" s="14" t="s">
        <v>237</v>
      </c>
      <c r="E9" s="14">
        <v>3</v>
      </c>
      <c r="F9" s="14" t="s">
        <v>241</v>
      </c>
      <c r="G9" s="14">
        <v>3</v>
      </c>
      <c r="H9" s="14"/>
      <c r="I9" s="14"/>
      <c r="J9" s="14"/>
      <c r="K9" s="14"/>
    </row>
    <row r="10" spans="1:11">
      <c r="A10" s="160"/>
      <c r="B10" s="14" t="s">
        <v>306</v>
      </c>
      <c r="C10" s="14">
        <v>50</v>
      </c>
      <c r="D10" s="14" t="s">
        <v>250</v>
      </c>
      <c r="E10" s="14">
        <v>2</v>
      </c>
      <c r="F10" s="14"/>
      <c r="G10" s="14"/>
      <c r="H10" s="14"/>
      <c r="I10" s="14"/>
      <c r="J10" s="14"/>
      <c r="K10" s="14"/>
    </row>
    <row r="11" spans="1:11">
      <c r="A11" s="160"/>
      <c r="B11" s="14" t="s">
        <v>307</v>
      </c>
      <c r="C11" s="14">
        <v>60</v>
      </c>
      <c r="D11" s="14" t="s">
        <v>250</v>
      </c>
      <c r="E11" s="14">
        <v>3</v>
      </c>
      <c r="F11" s="14"/>
      <c r="G11" s="14"/>
      <c r="H11" s="14"/>
      <c r="I11" s="14"/>
      <c r="J11" s="14"/>
      <c r="K11" s="14"/>
    </row>
    <row r="12" spans="1:11">
      <c r="A12" s="160"/>
      <c r="B12" s="14" t="s">
        <v>308</v>
      </c>
      <c r="C12" s="14">
        <v>70</v>
      </c>
      <c r="D12" s="14" t="s">
        <v>304</v>
      </c>
      <c r="E12" s="14">
        <v>4</v>
      </c>
      <c r="F12" s="14" t="s">
        <v>241</v>
      </c>
      <c r="G12" s="14">
        <v>3</v>
      </c>
      <c r="H12" s="14"/>
      <c r="I12" s="14"/>
      <c r="J12" s="14"/>
      <c r="K12" s="14"/>
    </row>
    <row r="13" spans="1:11">
      <c r="A13" s="160"/>
      <c r="B13" s="14" t="s">
        <v>309</v>
      </c>
      <c r="C13" s="14">
        <v>80</v>
      </c>
      <c r="D13" s="14" t="s">
        <v>141</v>
      </c>
      <c r="E13" s="14">
        <v>1</v>
      </c>
      <c r="F13" s="14" t="s">
        <v>241</v>
      </c>
      <c r="G13" s="14">
        <v>4</v>
      </c>
      <c r="H13" s="14"/>
      <c r="I13" s="14"/>
      <c r="J13" s="14"/>
      <c r="K13" s="14"/>
    </row>
    <row r="14" spans="1:11">
      <c r="A14" s="160"/>
      <c r="B14" s="14" t="s">
        <v>310</v>
      </c>
      <c r="C14" s="14">
        <v>90</v>
      </c>
      <c r="D14" s="14" t="s">
        <v>291</v>
      </c>
      <c r="E14" s="14">
        <v>1</v>
      </c>
      <c r="F14" s="14" t="s">
        <v>241</v>
      </c>
      <c r="G14" s="14">
        <v>5</v>
      </c>
      <c r="H14" s="14"/>
      <c r="I14" s="14"/>
      <c r="J14" s="14"/>
      <c r="K14" s="14"/>
    </row>
    <row r="15" spans="1:11">
      <c r="A15" s="160"/>
      <c r="B15" s="14" t="s">
        <v>311</v>
      </c>
      <c r="C15" s="14">
        <v>100</v>
      </c>
      <c r="D15" s="14" t="s">
        <v>216</v>
      </c>
      <c r="E15" s="14">
        <v>2</v>
      </c>
      <c r="F15" s="14" t="s">
        <v>241</v>
      </c>
      <c r="G15" s="14">
        <v>5</v>
      </c>
      <c r="H15" s="14"/>
      <c r="I15" s="14"/>
      <c r="J15" s="14"/>
      <c r="K15" s="14"/>
    </row>
    <row r="16" spans="1:11">
      <c r="A16" s="160"/>
      <c r="B16" s="14" t="s">
        <v>312</v>
      </c>
      <c r="C16" s="14">
        <v>110</v>
      </c>
      <c r="D16" s="14" t="s">
        <v>217</v>
      </c>
      <c r="E16" s="14">
        <v>1</v>
      </c>
      <c r="F16" s="14" t="s">
        <v>275</v>
      </c>
      <c r="G16" s="14">
        <v>1</v>
      </c>
      <c r="H16" s="14" t="s">
        <v>305</v>
      </c>
      <c r="I16" s="14">
        <v>1</v>
      </c>
      <c r="J16" s="14"/>
      <c r="K16" s="14"/>
    </row>
    <row r="17" spans="1:11">
      <c r="A17" s="160"/>
      <c r="B17" s="14" t="s">
        <v>313</v>
      </c>
      <c r="C17" s="14">
        <v>120</v>
      </c>
      <c r="D17" s="14" t="s">
        <v>218</v>
      </c>
      <c r="E17" s="14">
        <v>1</v>
      </c>
      <c r="F17" s="14" t="s">
        <v>276</v>
      </c>
      <c r="G17" s="14">
        <v>1</v>
      </c>
      <c r="H17" s="14" t="s">
        <v>308</v>
      </c>
      <c r="I17" s="14">
        <v>1</v>
      </c>
      <c r="J17" s="14"/>
      <c r="K17" s="14"/>
    </row>
    <row r="18" spans="1:11">
      <c r="A18" s="160"/>
      <c r="B18" s="14" t="s">
        <v>314</v>
      </c>
      <c r="C18" s="14">
        <v>130</v>
      </c>
      <c r="D18" s="14" t="s">
        <v>219</v>
      </c>
      <c r="E18" s="14">
        <v>1</v>
      </c>
      <c r="F18" s="14" t="s">
        <v>277</v>
      </c>
      <c r="G18" s="14">
        <v>1</v>
      </c>
      <c r="H18" s="14" t="s">
        <v>309</v>
      </c>
      <c r="I18" s="14">
        <v>1</v>
      </c>
      <c r="J18" s="14"/>
      <c r="K18" s="14"/>
    </row>
    <row r="19" spans="1:11">
      <c r="A19" s="160"/>
      <c r="B19" s="14" t="s">
        <v>1783</v>
      </c>
      <c r="C19" s="14">
        <v>140</v>
      </c>
      <c r="D19" s="14" t="s">
        <v>1768</v>
      </c>
      <c r="E19" s="14">
        <v>2</v>
      </c>
      <c r="F19" s="14" t="s">
        <v>1857</v>
      </c>
      <c r="G19" s="14">
        <v>2</v>
      </c>
      <c r="H19" s="14" t="s">
        <v>298</v>
      </c>
      <c r="I19" s="14">
        <v>1</v>
      </c>
      <c r="J19" s="14"/>
      <c r="K19" s="14"/>
    </row>
    <row r="20" spans="1:11">
      <c r="A20" s="160"/>
      <c r="B20" s="14" t="s">
        <v>1784</v>
      </c>
      <c r="C20" s="14">
        <v>150</v>
      </c>
      <c r="D20" s="14" t="s">
        <v>1769</v>
      </c>
      <c r="E20" s="14">
        <v>2</v>
      </c>
      <c r="F20" s="14" t="s">
        <v>1858</v>
      </c>
      <c r="G20" s="14">
        <v>2</v>
      </c>
      <c r="H20" s="14" t="s">
        <v>302</v>
      </c>
      <c r="I20" s="14">
        <v>1</v>
      </c>
      <c r="J20" s="14"/>
      <c r="K20" s="14"/>
    </row>
    <row r="21" spans="1:11">
      <c r="A21" s="160"/>
      <c r="B21" s="14" t="s">
        <v>1785</v>
      </c>
      <c r="C21" s="14">
        <v>160</v>
      </c>
      <c r="D21" s="14" t="s">
        <v>1770</v>
      </c>
      <c r="E21" s="14">
        <v>2</v>
      </c>
      <c r="F21" s="14" t="s">
        <v>1764</v>
      </c>
      <c r="G21" s="14">
        <v>2</v>
      </c>
      <c r="H21" s="14" t="s">
        <v>305</v>
      </c>
      <c r="I21" s="14">
        <v>1</v>
      </c>
      <c r="J21" s="14"/>
      <c r="K21" s="14"/>
    </row>
    <row r="22" spans="1:11">
      <c r="A22" s="160"/>
      <c r="B22" s="14" t="s">
        <v>1803</v>
      </c>
      <c r="C22" s="14">
        <v>170</v>
      </c>
      <c r="D22" s="14" t="s">
        <v>2739</v>
      </c>
      <c r="E22" s="14">
        <v>2</v>
      </c>
      <c r="F22" s="14" t="s">
        <v>1802</v>
      </c>
      <c r="G22" s="14">
        <v>2</v>
      </c>
      <c r="H22" s="14" t="s">
        <v>306</v>
      </c>
      <c r="I22" s="14">
        <v>1</v>
      </c>
      <c r="J22" s="14"/>
      <c r="K22" s="14"/>
    </row>
    <row r="23" spans="1:11">
      <c r="A23" s="160"/>
      <c r="B23" s="14" t="s">
        <v>1808</v>
      </c>
      <c r="C23" s="14">
        <v>180</v>
      </c>
      <c r="D23" s="14" t="s">
        <v>1806</v>
      </c>
      <c r="E23" s="14">
        <v>2</v>
      </c>
      <c r="F23" s="14" t="s">
        <v>1807</v>
      </c>
      <c r="G23" s="14">
        <v>2</v>
      </c>
      <c r="H23" s="14" t="s">
        <v>308</v>
      </c>
      <c r="I23" s="14">
        <v>1</v>
      </c>
      <c r="J23" s="14"/>
      <c r="K23" s="14"/>
    </row>
    <row r="25" spans="1:11">
      <c r="A25" s="161" t="s">
        <v>4070</v>
      </c>
      <c r="B25" s="6" t="s">
        <v>315</v>
      </c>
      <c r="C25" s="6">
        <v>1</v>
      </c>
      <c r="D25" s="6" t="s">
        <v>316</v>
      </c>
      <c r="E25" s="6">
        <v>5</v>
      </c>
      <c r="F25" s="6"/>
      <c r="G25" s="6"/>
      <c r="H25" s="6"/>
      <c r="I25" s="6"/>
      <c r="J25" s="6" t="s">
        <v>349</v>
      </c>
      <c r="K25" s="6" t="s">
        <v>1771</v>
      </c>
    </row>
    <row r="26" spans="1:11">
      <c r="A26" s="161"/>
      <c r="B26" s="6" t="s">
        <v>317</v>
      </c>
      <c r="C26" s="6">
        <v>5</v>
      </c>
      <c r="D26" s="6" t="s">
        <v>187</v>
      </c>
      <c r="E26" s="6">
        <v>2</v>
      </c>
      <c r="F26" s="6" t="s">
        <v>297</v>
      </c>
      <c r="G26" s="6">
        <v>1</v>
      </c>
      <c r="H26" s="6"/>
      <c r="I26" s="6"/>
      <c r="J26" s="6" t="s">
        <v>1771</v>
      </c>
      <c r="K26" s="6" t="s">
        <v>450</v>
      </c>
    </row>
    <row r="27" spans="1:11">
      <c r="A27" s="161"/>
      <c r="B27" s="6" t="s">
        <v>318</v>
      </c>
      <c r="C27" s="6">
        <v>10</v>
      </c>
      <c r="D27" s="6" t="s">
        <v>319</v>
      </c>
      <c r="E27" s="6">
        <v>5</v>
      </c>
      <c r="F27" s="6" t="s">
        <v>320</v>
      </c>
      <c r="G27" s="6">
        <v>2</v>
      </c>
      <c r="H27" s="6" t="s">
        <v>297</v>
      </c>
      <c r="I27" s="6">
        <v>2</v>
      </c>
      <c r="J27" s="6" t="s">
        <v>350</v>
      </c>
      <c r="K27" s="6" t="s">
        <v>1771</v>
      </c>
    </row>
    <row r="28" spans="1:11">
      <c r="A28" s="161"/>
      <c r="B28" s="6" t="s">
        <v>321</v>
      </c>
      <c r="C28" s="6">
        <v>15</v>
      </c>
      <c r="D28" s="6" t="s">
        <v>187</v>
      </c>
      <c r="E28" s="6">
        <v>4</v>
      </c>
      <c r="F28" s="6" t="s">
        <v>190</v>
      </c>
      <c r="G28" s="6">
        <v>2</v>
      </c>
      <c r="H28" s="6" t="s">
        <v>297</v>
      </c>
      <c r="I28" s="6">
        <v>1</v>
      </c>
      <c r="J28" s="6" t="s">
        <v>1771</v>
      </c>
      <c r="K28" s="6" t="s">
        <v>322</v>
      </c>
    </row>
    <row r="29" spans="1:11">
      <c r="A29" s="161"/>
      <c r="B29" s="6" t="s">
        <v>323</v>
      </c>
      <c r="C29" s="6">
        <v>20</v>
      </c>
      <c r="D29" s="6" t="s">
        <v>194</v>
      </c>
      <c r="E29" s="6">
        <v>4</v>
      </c>
      <c r="F29" s="6" t="s">
        <v>190</v>
      </c>
      <c r="G29" s="6">
        <v>2</v>
      </c>
      <c r="H29" s="6"/>
      <c r="I29" s="6"/>
      <c r="J29" s="6" t="s">
        <v>351</v>
      </c>
      <c r="K29" s="6" t="s">
        <v>1828</v>
      </c>
    </row>
    <row r="30" spans="1:11">
      <c r="A30" s="161"/>
      <c r="B30" s="6" t="s">
        <v>324</v>
      </c>
      <c r="C30" s="6">
        <v>20</v>
      </c>
      <c r="D30" s="6" t="s">
        <v>196</v>
      </c>
      <c r="E30" s="6">
        <v>3</v>
      </c>
      <c r="F30" s="6" t="s">
        <v>192</v>
      </c>
      <c r="G30" s="6">
        <v>2</v>
      </c>
      <c r="H30" s="6"/>
      <c r="I30" s="6"/>
      <c r="J30" s="6" t="s">
        <v>352</v>
      </c>
      <c r="K30" s="6" t="s">
        <v>1828</v>
      </c>
    </row>
    <row r="31" spans="1:11">
      <c r="A31" s="161"/>
      <c r="B31" s="6" t="s">
        <v>325</v>
      </c>
      <c r="C31" s="6">
        <v>25</v>
      </c>
      <c r="D31" s="6" t="s">
        <v>195</v>
      </c>
      <c r="E31" s="6">
        <v>2</v>
      </c>
      <c r="F31" s="6" t="s">
        <v>326</v>
      </c>
      <c r="G31" s="6">
        <v>2</v>
      </c>
      <c r="H31" s="6" t="s">
        <v>298</v>
      </c>
      <c r="I31" s="6">
        <v>2</v>
      </c>
      <c r="J31" s="6" t="s">
        <v>1827</v>
      </c>
      <c r="K31" s="6" t="s">
        <v>1829</v>
      </c>
    </row>
    <row r="32" spans="1:11">
      <c r="A32" s="161"/>
      <c r="B32" s="6" t="s">
        <v>327</v>
      </c>
      <c r="C32" s="6">
        <v>30</v>
      </c>
      <c r="D32" s="6" t="s">
        <v>195</v>
      </c>
      <c r="E32" s="6">
        <v>4</v>
      </c>
      <c r="F32" s="6" t="s">
        <v>194</v>
      </c>
      <c r="G32" s="6">
        <v>4</v>
      </c>
      <c r="H32" s="6" t="s">
        <v>298</v>
      </c>
      <c r="I32" s="6">
        <v>2</v>
      </c>
      <c r="J32" s="6" t="s">
        <v>451</v>
      </c>
      <c r="K32" s="6" t="s">
        <v>1771</v>
      </c>
    </row>
    <row r="33" spans="1:11">
      <c r="A33" s="161"/>
      <c r="B33" s="6" t="s">
        <v>328</v>
      </c>
      <c r="C33" s="6">
        <v>35</v>
      </c>
      <c r="D33" s="6" t="s">
        <v>196</v>
      </c>
      <c r="E33" s="6">
        <v>3</v>
      </c>
      <c r="F33" s="6" t="s">
        <v>192</v>
      </c>
      <c r="G33" s="6">
        <v>2</v>
      </c>
      <c r="H33" s="6" t="s">
        <v>302</v>
      </c>
      <c r="I33" s="6">
        <v>1</v>
      </c>
      <c r="J33" s="6" t="s">
        <v>1771</v>
      </c>
      <c r="K33" s="6" t="s">
        <v>452</v>
      </c>
    </row>
    <row r="34" spans="1:11">
      <c r="A34" s="161"/>
      <c r="B34" s="6" t="s">
        <v>329</v>
      </c>
      <c r="C34" s="6">
        <v>40</v>
      </c>
      <c r="D34" s="6" t="s">
        <v>194</v>
      </c>
      <c r="E34" s="6">
        <v>2</v>
      </c>
      <c r="F34" s="6" t="s">
        <v>204</v>
      </c>
      <c r="G34" s="6">
        <v>2</v>
      </c>
      <c r="H34" s="6" t="s">
        <v>330</v>
      </c>
      <c r="I34" s="6">
        <v>1</v>
      </c>
      <c r="J34" s="6" t="s">
        <v>453</v>
      </c>
      <c r="K34" s="6" t="s">
        <v>1771</v>
      </c>
    </row>
    <row r="35" spans="1:11">
      <c r="A35" s="161"/>
      <c r="B35" s="6" t="s">
        <v>331</v>
      </c>
      <c r="C35" s="6">
        <v>45</v>
      </c>
      <c r="D35" s="6" t="s">
        <v>192</v>
      </c>
      <c r="E35" s="6">
        <v>3</v>
      </c>
      <c r="F35" s="6" t="s">
        <v>266</v>
      </c>
      <c r="G35" s="6">
        <v>4</v>
      </c>
      <c r="H35" s="6" t="s">
        <v>332</v>
      </c>
      <c r="I35" s="6">
        <v>3</v>
      </c>
      <c r="J35" s="6" t="s">
        <v>1771</v>
      </c>
      <c r="K35" s="6" t="s">
        <v>454</v>
      </c>
    </row>
    <row r="36" spans="1:11">
      <c r="A36" s="161"/>
      <c r="B36" s="6" t="s">
        <v>333</v>
      </c>
      <c r="C36" s="6">
        <v>50</v>
      </c>
      <c r="D36" s="6" t="s">
        <v>206</v>
      </c>
      <c r="E36" s="6">
        <v>5</v>
      </c>
      <c r="F36" s="6" t="s">
        <v>196</v>
      </c>
      <c r="G36" s="6">
        <v>3</v>
      </c>
      <c r="H36" s="6" t="s">
        <v>319</v>
      </c>
      <c r="I36" s="6">
        <v>3</v>
      </c>
      <c r="J36" s="6" t="s">
        <v>455</v>
      </c>
      <c r="K36" s="6" t="s">
        <v>452</v>
      </c>
    </row>
    <row r="37" spans="1:11">
      <c r="A37" s="161"/>
      <c r="B37" s="6" t="s">
        <v>334</v>
      </c>
      <c r="C37" s="6">
        <v>55</v>
      </c>
      <c r="D37" s="6" t="s">
        <v>209</v>
      </c>
      <c r="E37" s="6">
        <v>4</v>
      </c>
      <c r="F37" s="6" t="s">
        <v>195</v>
      </c>
      <c r="G37" s="6">
        <v>2</v>
      </c>
      <c r="H37" s="6" t="s">
        <v>192</v>
      </c>
      <c r="I37" s="6">
        <v>2</v>
      </c>
      <c r="J37" s="6" t="s">
        <v>456</v>
      </c>
      <c r="K37" s="6" t="s">
        <v>1771</v>
      </c>
    </row>
    <row r="38" spans="1:11">
      <c r="A38" s="161"/>
      <c r="B38" s="6" t="s">
        <v>335</v>
      </c>
      <c r="C38" s="6">
        <v>60</v>
      </c>
      <c r="D38" s="6" t="s">
        <v>208</v>
      </c>
      <c r="E38" s="6">
        <v>7</v>
      </c>
      <c r="F38" s="6" t="s">
        <v>187</v>
      </c>
      <c r="G38" s="6">
        <v>2</v>
      </c>
      <c r="H38" s="6" t="s">
        <v>195</v>
      </c>
      <c r="I38" s="6">
        <v>2</v>
      </c>
      <c r="J38" s="6" t="s">
        <v>1771</v>
      </c>
      <c r="K38" s="6" t="s">
        <v>457</v>
      </c>
    </row>
    <row r="39" spans="1:11">
      <c r="A39" s="161"/>
      <c r="B39" s="6" t="s">
        <v>336</v>
      </c>
      <c r="C39" s="6">
        <v>65</v>
      </c>
      <c r="D39" s="6" t="s">
        <v>209</v>
      </c>
      <c r="E39" s="6">
        <v>4</v>
      </c>
      <c r="F39" s="6" t="s">
        <v>195</v>
      </c>
      <c r="G39" s="6">
        <v>4</v>
      </c>
      <c r="H39" s="6" t="s">
        <v>194</v>
      </c>
      <c r="I39" s="6">
        <v>3</v>
      </c>
      <c r="J39" s="6" t="s">
        <v>458</v>
      </c>
      <c r="K39" s="6" t="s">
        <v>452</v>
      </c>
    </row>
    <row r="40" spans="1:11">
      <c r="A40" s="161"/>
      <c r="B40" s="6" t="s">
        <v>337</v>
      </c>
      <c r="C40" s="6">
        <v>70</v>
      </c>
      <c r="D40" s="6" t="s">
        <v>211</v>
      </c>
      <c r="E40" s="6">
        <v>4</v>
      </c>
      <c r="F40" s="6" t="s">
        <v>191</v>
      </c>
      <c r="G40" s="6">
        <v>4</v>
      </c>
      <c r="H40" s="6" t="s">
        <v>326</v>
      </c>
      <c r="I40" s="6">
        <v>3</v>
      </c>
      <c r="J40" s="6" t="s">
        <v>459</v>
      </c>
      <c r="K40" s="6" t="s">
        <v>1771</v>
      </c>
    </row>
    <row r="41" spans="1:11">
      <c r="A41" s="161"/>
      <c r="B41" s="6" t="s">
        <v>338</v>
      </c>
      <c r="C41" s="6">
        <v>70</v>
      </c>
      <c r="D41" s="6" t="s">
        <v>208</v>
      </c>
      <c r="E41" s="6">
        <v>4</v>
      </c>
      <c r="F41" s="6" t="s">
        <v>192</v>
      </c>
      <c r="G41" s="6">
        <v>4</v>
      </c>
      <c r="H41" s="6" t="s">
        <v>332</v>
      </c>
      <c r="I41" s="6">
        <v>5</v>
      </c>
      <c r="J41" s="6" t="s">
        <v>1771</v>
      </c>
      <c r="K41" s="6" t="s">
        <v>460</v>
      </c>
    </row>
    <row r="42" spans="1:11">
      <c r="A42" s="161"/>
      <c r="B42" s="6" t="s">
        <v>339</v>
      </c>
      <c r="C42" s="6">
        <v>75</v>
      </c>
      <c r="D42" s="6" t="s">
        <v>212</v>
      </c>
      <c r="E42" s="6">
        <v>2</v>
      </c>
      <c r="F42" s="6" t="s">
        <v>208</v>
      </c>
      <c r="G42" s="6">
        <v>2</v>
      </c>
      <c r="H42" s="6" t="s">
        <v>305</v>
      </c>
      <c r="I42" s="6">
        <v>1</v>
      </c>
      <c r="J42" s="6" t="s">
        <v>461</v>
      </c>
      <c r="K42" s="6" t="s">
        <v>1771</v>
      </c>
    </row>
    <row r="43" spans="1:11">
      <c r="A43" s="161"/>
      <c r="B43" s="6" t="s">
        <v>340</v>
      </c>
      <c r="C43" s="6">
        <v>75</v>
      </c>
      <c r="D43" s="6" t="s">
        <v>211</v>
      </c>
      <c r="E43" s="6">
        <v>2</v>
      </c>
      <c r="F43" s="6" t="s">
        <v>209</v>
      </c>
      <c r="G43" s="6">
        <v>3</v>
      </c>
      <c r="H43" s="6" t="s">
        <v>305</v>
      </c>
      <c r="I43" s="6">
        <v>1</v>
      </c>
      <c r="J43" s="6" t="s">
        <v>459</v>
      </c>
      <c r="K43" s="6" t="s">
        <v>452</v>
      </c>
    </row>
    <row r="44" spans="1:11">
      <c r="A44" s="161"/>
      <c r="B44" s="6" t="s">
        <v>341</v>
      </c>
      <c r="C44" s="6">
        <v>80</v>
      </c>
      <c r="D44" s="6" t="s">
        <v>211</v>
      </c>
      <c r="E44" s="6">
        <v>2</v>
      </c>
      <c r="F44" s="6" t="s">
        <v>206</v>
      </c>
      <c r="G44" s="6">
        <v>2</v>
      </c>
      <c r="H44" s="6" t="s">
        <v>308</v>
      </c>
      <c r="I44" s="6">
        <v>1</v>
      </c>
      <c r="J44" s="6" t="s">
        <v>1771</v>
      </c>
      <c r="K44" s="6" t="s">
        <v>462</v>
      </c>
    </row>
    <row r="45" spans="1:11">
      <c r="A45" s="161"/>
      <c r="B45" s="6" t="s">
        <v>342</v>
      </c>
      <c r="C45" s="6">
        <v>85</v>
      </c>
      <c r="D45" s="6" t="s">
        <v>212</v>
      </c>
      <c r="E45" s="6">
        <v>2</v>
      </c>
      <c r="F45" s="6" t="s">
        <v>211</v>
      </c>
      <c r="G45" s="6">
        <v>2</v>
      </c>
      <c r="H45" s="6" t="s">
        <v>308</v>
      </c>
      <c r="I45" s="6">
        <v>1</v>
      </c>
      <c r="J45" s="6" t="s">
        <v>463</v>
      </c>
      <c r="K45" s="6" t="s">
        <v>462</v>
      </c>
    </row>
    <row r="46" spans="1:11">
      <c r="A46" s="161"/>
      <c r="B46" s="6" t="s">
        <v>343</v>
      </c>
      <c r="C46" s="6">
        <v>90</v>
      </c>
      <c r="D46" s="6" t="s">
        <v>213</v>
      </c>
      <c r="E46" s="6">
        <v>2</v>
      </c>
      <c r="F46" s="6" t="s">
        <v>142</v>
      </c>
      <c r="G46" s="6">
        <v>2</v>
      </c>
      <c r="H46" s="6" t="s">
        <v>309</v>
      </c>
      <c r="I46" s="6">
        <v>1</v>
      </c>
      <c r="J46" s="6" t="s">
        <v>1771</v>
      </c>
      <c r="K46" s="6" t="s">
        <v>464</v>
      </c>
    </row>
    <row r="47" spans="1:11">
      <c r="A47" s="161"/>
      <c r="B47" s="6" t="s">
        <v>344</v>
      </c>
      <c r="C47" s="6">
        <v>95</v>
      </c>
      <c r="D47" s="6" t="s">
        <v>291</v>
      </c>
      <c r="E47" s="6">
        <v>2</v>
      </c>
      <c r="F47" s="6" t="s">
        <v>215</v>
      </c>
      <c r="G47" s="6">
        <v>2</v>
      </c>
      <c r="H47" s="6" t="s">
        <v>310</v>
      </c>
      <c r="I47" s="6">
        <v>1</v>
      </c>
      <c r="J47" s="6" t="s">
        <v>465</v>
      </c>
      <c r="K47" s="6" t="s">
        <v>1771</v>
      </c>
    </row>
    <row r="48" spans="1:11">
      <c r="A48" s="161"/>
      <c r="B48" s="6" t="s">
        <v>345</v>
      </c>
      <c r="C48" s="6">
        <v>100</v>
      </c>
      <c r="D48" s="6" t="s">
        <v>292</v>
      </c>
      <c r="E48" s="6">
        <v>2</v>
      </c>
      <c r="F48" s="6" t="s">
        <v>216</v>
      </c>
      <c r="G48" s="6">
        <v>2</v>
      </c>
      <c r="H48" s="6" t="s">
        <v>311</v>
      </c>
      <c r="I48" s="6">
        <v>1</v>
      </c>
      <c r="J48" s="6" t="s">
        <v>465</v>
      </c>
      <c r="K48" s="6" t="s">
        <v>464</v>
      </c>
    </row>
    <row r="49" spans="1:11">
      <c r="A49" s="161"/>
      <c r="B49" s="6" t="s">
        <v>346</v>
      </c>
      <c r="C49" s="6">
        <v>110</v>
      </c>
      <c r="D49" s="6" t="s">
        <v>217</v>
      </c>
      <c r="E49" s="6">
        <v>1</v>
      </c>
      <c r="F49" s="6" t="s">
        <v>260</v>
      </c>
      <c r="G49" s="6">
        <v>1</v>
      </c>
      <c r="H49" s="6" t="s">
        <v>312</v>
      </c>
      <c r="I49" s="6">
        <v>1</v>
      </c>
      <c r="J49" s="6" t="s">
        <v>466</v>
      </c>
      <c r="K49" s="6" t="s">
        <v>467</v>
      </c>
    </row>
    <row r="50" spans="1:11">
      <c r="A50" s="161"/>
      <c r="B50" s="6" t="s">
        <v>347</v>
      </c>
      <c r="C50" s="6">
        <v>120</v>
      </c>
      <c r="D50" s="6" t="s">
        <v>218</v>
      </c>
      <c r="E50" s="6">
        <v>1</v>
      </c>
      <c r="F50" s="6" t="s">
        <v>276</v>
      </c>
      <c r="G50" s="6">
        <v>1</v>
      </c>
      <c r="H50" s="6" t="s">
        <v>313</v>
      </c>
      <c r="I50" s="6">
        <v>1</v>
      </c>
      <c r="J50" s="6" t="s">
        <v>468</v>
      </c>
      <c r="K50" s="6" t="s">
        <v>469</v>
      </c>
    </row>
    <row r="51" spans="1:11">
      <c r="A51" s="161"/>
      <c r="B51" s="6" t="s">
        <v>348</v>
      </c>
      <c r="C51" s="6">
        <v>130</v>
      </c>
      <c r="D51" s="6" t="s">
        <v>219</v>
      </c>
      <c r="E51" s="6">
        <v>1</v>
      </c>
      <c r="F51" s="6" t="s">
        <v>259</v>
      </c>
      <c r="G51" s="6">
        <v>1</v>
      </c>
      <c r="H51" s="6" t="s">
        <v>314</v>
      </c>
      <c r="I51" s="6">
        <v>1</v>
      </c>
      <c r="J51" s="6" t="s">
        <v>465</v>
      </c>
      <c r="K51" s="6" t="s">
        <v>470</v>
      </c>
    </row>
    <row r="52" spans="1:11">
      <c r="A52" s="161"/>
      <c r="B52" s="6" t="s">
        <v>1774</v>
      </c>
      <c r="C52" s="6">
        <v>140</v>
      </c>
      <c r="D52" s="6" t="s">
        <v>1762</v>
      </c>
      <c r="E52" s="6">
        <v>1</v>
      </c>
      <c r="F52" s="6" t="s">
        <v>1768</v>
      </c>
      <c r="G52" s="6">
        <v>1</v>
      </c>
      <c r="H52" s="6" t="s">
        <v>1783</v>
      </c>
      <c r="I52" s="6">
        <v>1</v>
      </c>
      <c r="J52" s="6" t="s">
        <v>573</v>
      </c>
      <c r="K52" s="6" t="s">
        <v>1859</v>
      </c>
    </row>
    <row r="53" spans="1:11">
      <c r="A53" s="161"/>
      <c r="B53" s="6" t="s">
        <v>1775</v>
      </c>
      <c r="C53" s="6">
        <v>145</v>
      </c>
      <c r="D53" s="6" t="s">
        <v>1762</v>
      </c>
      <c r="E53" s="6">
        <v>2</v>
      </c>
      <c r="F53" s="6" t="s">
        <v>1768</v>
      </c>
      <c r="G53" s="6">
        <v>1</v>
      </c>
      <c r="H53" s="6" t="s">
        <v>1783</v>
      </c>
      <c r="I53" s="6">
        <v>1</v>
      </c>
      <c r="J53" s="6" t="s">
        <v>468</v>
      </c>
      <c r="K53" s="6" t="s">
        <v>1860</v>
      </c>
    </row>
    <row r="54" spans="1:11">
      <c r="A54" s="161"/>
      <c r="B54" s="6" t="s">
        <v>1776</v>
      </c>
      <c r="C54" s="6">
        <v>150</v>
      </c>
      <c r="D54" s="6" t="s">
        <v>1763</v>
      </c>
      <c r="E54" s="6">
        <v>1</v>
      </c>
      <c r="F54" s="6" t="s">
        <v>1769</v>
      </c>
      <c r="G54" s="6">
        <v>1</v>
      </c>
      <c r="H54" s="6" t="s">
        <v>1784</v>
      </c>
      <c r="I54" s="6">
        <v>1</v>
      </c>
      <c r="J54" s="6" t="s">
        <v>465</v>
      </c>
      <c r="K54" s="6" t="s">
        <v>1861</v>
      </c>
    </row>
    <row r="55" spans="1:11">
      <c r="A55" s="161"/>
      <c r="B55" s="6" t="s">
        <v>1777</v>
      </c>
      <c r="C55" s="6">
        <v>155</v>
      </c>
      <c r="D55" s="6" t="s">
        <v>1763</v>
      </c>
      <c r="E55" s="6">
        <v>2</v>
      </c>
      <c r="F55" s="6" t="s">
        <v>1769</v>
      </c>
      <c r="G55" s="6">
        <v>1</v>
      </c>
      <c r="H55" s="6" t="s">
        <v>1784</v>
      </c>
      <c r="I55" s="6">
        <v>1</v>
      </c>
      <c r="J55" s="6" t="s">
        <v>1862</v>
      </c>
      <c r="K55" s="6"/>
    </row>
    <row r="56" spans="1:11">
      <c r="A56" s="161"/>
      <c r="B56" s="6" t="s">
        <v>1778</v>
      </c>
      <c r="C56" s="6">
        <v>160</v>
      </c>
      <c r="D56" s="6" t="s">
        <v>1764</v>
      </c>
      <c r="E56" s="6">
        <v>2</v>
      </c>
      <c r="F56" s="6" t="s">
        <v>1770</v>
      </c>
      <c r="G56" s="6">
        <v>1</v>
      </c>
      <c r="H56" s="6" t="s">
        <v>1785</v>
      </c>
      <c r="I56" s="6">
        <v>1</v>
      </c>
      <c r="J56" s="6" t="s">
        <v>1863</v>
      </c>
      <c r="K56" s="6" t="s">
        <v>1830</v>
      </c>
    </row>
    <row r="57" spans="1:11">
      <c r="A57" s="161"/>
      <c r="B57" s="6" t="s">
        <v>1779</v>
      </c>
      <c r="C57" s="6">
        <v>165</v>
      </c>
      <c r="D57" s="6" t="s">
        <v>1764</v>
      </c>
      <c r="E57" s="6">
        <v>2</v>
      </c>
      <c r="F57" s="6" t="s">
        <v>1770</v>
      </c>
      <c r="G57" s="6">
        <v>2</v>
      </c>
      <c r="H57" s="6" t="s">
        <v>1785</v>
      </c>
      <c r="I57" s="6">
        <v>1</v>
      </c>
      <c r="J57" s="6" t="s">
        <v>1832</v>
      </c>
      <c r="K57" s="6" t="s">
        <v>1830</v>
      </c>
    </row>
    <row r="58" spans="1:11">
      <c r="A58" s="161"/>
      <c r="B58" s="6" t="s">
        <v>1800</v>
      </c>
      <c r="C58" s="6">
        <v>170</v>
      </c>
      <c r="D58" s="6" t="s">
        <v>1801</v>
      </c>
      <c r="E58" s="6">
        <v>2</v>
      </c>
      <c r="F58" s="6" t="s">
        <v>1802</v>
      </c>
      <c r="G58" s="6">
        <v>2</v>
      </c>
      <c r="H58" s="6" t="s">
        <v>1803</v>
      </c>
      <c r="I58" s="6">
        <v>1</v>
      </c>
      <c r="J58" s="6" t="s">
        <v>1804</v>
      </c>
      <c r="K58" s="6" t="s">
        <v>1831</v>
      </c>
    </row>
    <row r="59" spans="1:11">
      <c r="A59" s="161"/>
      <c r="B59" s="6" t="s">
        <v>1805</v>
      </c>
      <c r="C59" s="6">
        <v>180</v>
      </c>
      <c r="D59" s="6" t="s">
        <v>1806</v>
      </c>
      <c r="E59" s="6">
        <v>2</v>
      </c>
      <c r="F59" s="6" t="s">
        <v>1807</v>
      </c>
      <c r="G59" s="6">
        <v>2</v>
      </c>
      <c r="H59" s="6" t="s">
        <v>1808</v>
      </c>
      <c r="I59" s="6">
        <v>1</v>
      </c>
      <c r="J59" s="6" t="s">
        <v>1809</v>
      </c>
      <c r="K59" s="6" t="s">
        <v>1831</v>
      </c>
    </row>
    <row r="61" spans="1:11">
      <c r="A61" s="160" t="s">
        <v>4072</v>
      </c>
      <c r="B61" s="14" t="s">
        <v>353</v>
      </c>
      <c r="C61" s="14">
        <v>1</v>
      </c>
      <c r="D61" s="14" t="s">
        <v>264</v>
      </c>
      <c r="E61" s="14">
        <v>1</v>
      </c>
      <c r="F61" s="14"/>
      <c r="G61" s="14"/>
      <c r="H61" s="14"/>
      <c r="I61" s="14"/>
      <c r="J61" s="14" t="s">
        <v>514</v>
      </c>
      <c r="K61" s="14" t="s">
        <v>1771</v>
      </c>
    </row>
    <row r="62" spans="1:11">
      <c r="A62" s="160"/>
      <c r="B62" s="14" t="s">
        <v>354</v>
      </c>
      <c r="C62" s="14">
        <v>1</v>
      </c>
      <c r="D62" s="14" t="s">
        <v>282</v>
      </c>
      <c r="E62" s="14">
        <v>1</v>
      </c>
      <c r="F62" s="14"/>
      <c r="G62" s="14"/>
      <c r="H62" s="14"/>
      <c r="I62" s="14"/>
      <c r="J62" s="14" t="s">
        <v>514</v>
      </c>
      <c r="K62" s="14" t="s">
        <v>1771</v>
      </c>
    </row>
    <row r="63" spans="1:11">
      <c r="A63" s="160"/>
      <c r="B63" s="14" t="s">
        <v>355</v>
      </c>
      <c r="C63" s="14">
        <v>5</v>
      </c>
      <c r="D63" s="14" t="s">
        <v>356</v>
      </c>
      <c r="E63" s="14">
        <v>1</v>
      </c>
      <c r="F63" s="14"/>
      <c r="G63" s="14"/>
      <c r="H63" s="14"/>
      <c r="I63" s="14"/>
      <c r="J63" s="14" t="s">
        <v>515</v>
      </c>
      <c r="K63" s="14" t="s">
        <v>1771</v>
      </c>
    </row>
    <row r="64" spans="1:11">
      <c r="A64" s="160"/>
      <c r="B64" s="14" t="s">
        <v>357</v>
      </c>
      <c r="C64" s="14">
        <v>5</v>
      </c>
      <c r="D64" s="14" t="s">
        <v>283</v>
      </c>
      <c r="E64" s="14">
        <v>1</v>
      </c>
      <c r="F64" s="14" t="s">
        <v>320</v>
      </c>
      <c r="G64" s="14">
        <v>2</v>
      </c>
      <c r="H64" s="14"/>
      <c r="I64" s="14"/>
      <c r="J64" s="14" t="s">
        <v>516</v>
      </c>
      <c r="K64" s="14" t="s">
        <v>517</v>
      </c>
    </row>
    <row r="65" spans="1:11">
      <c r="A65" s="160"/>
      <c r="B65" s="14" t="s">
        <v>358</v>
      </c>
      <c r="C65" s="14">
        <v>10</v>
      </c>
      <c r="D65" s="14" t="s">
        <v>283</v>
      </c>
      <c r="E65" s="14">
        <v>2</v>
      </c>
      <c r="F65" s="14" t="s">
        <v>297</v>
      </c>
      <c r="G65" s="14">
        <v>1</v>
      </c>
      <c r="H65" s="14"/>
      <c r="I65" s="14"/>
      <c r="J65" s="14" t="s">
        <v>515</v>
      </c>
      <c r="K65" s="14" t="s">
        <v>518</v>
      </c>
    </row>
    <row r="66" spans="1:11">
      <c r="A66" s="160"/>
      <c r="B66" s="14" t="s">
        <v>359</v>
      </c>
      <c r="C66" s="14">
        <v>10</v>
      </c>
      <c r="D66" s="14" t="s">
        <v>237</v>
      </c>
      <c r="E66" s="14">
        <v>2</v>
      </c>
      <c r="F66" s="14" t="s">
        <v>265</v>
      </c>
      <c r="G66" s="14">
        <v>2</v>
      </c>
      <c r="H66" s="14"/>
      <c r="I66" s="14"/>
      <c r="J66" s="14" t="s">
        <v>560</v>
      </c>
      <c r="K66" s="14" t="s">
        <v>1771</v>
      </c>
    </row>
    <row r="67" spans="1:11">
      <c r="A67" s="160"/>
      <c r="B67" s="14" t="s">
        <v>360</v>
      </c>
      <c r="C67" s="14">
        <v>15</v>
      </c>
      <c r="D67" s="14" t="s">
        <v>241</v>
      </c>
      <c r="E67" s="14">
        <v>2</v>
      </c>
      <c r="F67" s="14" t="s">
        <v>361</v>
      </c>
      <c r="G67" s="14">
        <v>2</v>
      </c>
      <c r="H67" s="14"/>
      <c r="I67" s="14"/>
      <c r="J67" s="14" t="s">
        <v>561</v>
      </c>
      <c r="K67" s="14" t="s">
        <v>519</v>
      </c>
    </row>
    <row r="68" spans="1:11">
      <c r="A68" s="160"/>
      <c r="B68" s="14" t="s">
        <v>362</v>
      </c>
      <c r="C68" s="14">
        <v>15</v>
      </c>
      <c r="D68" s="14" t="s">
        <v>361</v>
      </c>
      <c r="E68" s="14">
        <v>2</v>
      </c>
      <c r="F68" s="14" t="s">
        <v>297</v>
      </c>
      <c r="G68" s="14">
        <v>2</v>
      </c>
      <c r="H68" s="14" t="s">
        <v>298</v>
      </c>
      <c r="I68" s="14">
        <v>1</v>
      </c>
      <c r="J68" s="14" t="s">
        <v>562</v>
      </c>
      <c r="K68" s="14" t="s">
        <v>1771</v>
      </c>
    </row>
    <row r="69" spans="1:11">
      <c r="A69" s="160"/>
      <c r="B69" s="14" t="s">
        <v>363</v>
      </c>
      <c r="C69" s="14">
        <v>20</v>
      </c>
      <c r="D69" s="14" t="s">
        <v>284</v>
      </c>
      <c r="E69" s="14">
        <v>3</v>
      </c>
      <c r="F69" s="14" t="s">
        <v>320</v>
      </c>
      <c r="G69" s="14">
        <v>3</v>
      </c>
      <c r="H69" s="14" t="s">
        <v>298</v>
      </c>
      <c r="I69" s="14">
        <v>1</v>
      </c>
      <c r="J69" s="14" t="s">
        <v>563</v>
      </c>
      <c r="K69" s="14" t="s">
        <v>518</v>
      </c>
    </row>
    <row r="70" spans="1:11">
      <c r="A70" s="160"/>
      <c r="B70" s="14" t="s">
        <v>364</v>
      </c>
      <c r="C70" s="14">
        <v>25</v>
      </c>
      <c r="D70" s="14" t="s">
        <v>237</v>
      </c>
      <c r="E70" s="14">
        <v>2</v>
      </c>
      <c r="F70" s="14" t="s">
        <v>118</v>
      </c>
      <c r="G70" s="14">
        <v>1</v>
      </c>
      <c r="H70" s="14" t="s">
        <v>365</v>
      </c>
      <c r="I70" s="14">
        <v>3</v>
      </c>
      <c r="J70" s="14" t="s">
        <v>564</v>
      </c>
      <c r="K70" s="14" t="s">
        <v>1771</v>
      </c>
    </row>
    <row r="71" spans="1:11">
      <c r="A71" s="160"/>
      <c r="B71" s="14" t="s">
        <v>366</v>
      </c>
      <c r="C71" s="14">
        <v>30</v>
      </c>
      <c r="D71" s="14" t="s">
        <v>285</v>
      </c>
      <c r="E71" s="14">
        <v>1</v>
      </c>
      <c r="F71" s="14" t="s">
        <v>320</v>
      </c>
      <c r="G71" s="14">
        <v>3</v>
      </c>
      <c r="H71" s="14" t="s">
        <v>302</v>
      </c>
      <c r="I71" s="14">
        <v>1</v>
      </c>
      <c r="J71" s="14" t="s">
        <v>564</v>
      </c>
      <c r="K71" s="14" t="s">
        <v>520</v>
      </c>
    </row>
    <row r="72" spans="1:11">
      <c r="A72" s="160"/>
      <c r="B72" s="14" t="s">
        <v>367</v>
      </c>
      <c r="C72" s="14">
        <v>30</v>
      </c>
      <c r="D72" s="14" t="s">
        <v>241</v>
      </c>
      <c r="E72" s="14">
        <v>2</v>
      </c>
      <c r="F72" s="14" t="s">
        <v>304</v>
      </c>
      <c r="G72" s="14">
        <v>3</v>
      </c>
      <c r="H72" s="14"/>
      <c r="I72" s="14"/>
      <c r="J72" s="14" t="s">
        <v>513</v>
      </c>
      <c r="K72" s="14" t="s">
        <v>1771</v>
      </c>
    </row>
    <row r="73" spans="1:11">
      <c r="A73" s="160"/>
      <c r="B73" s="14" t="s">
        <v>368</v>
      </c>
      <c r="C73" s="14">
        <v>35</v>
      </c>
      <c r="D73" s="14" t="s">
        <v>237</v>
      </c>
      <c r="E73" s="14">
        <v>2</v>
      </c>
      <c r="F73" s="14" t="s">
        <v>369</v>
      </c>
      <c r="G73" s="14">
        <v>1</v>
      </c>
      <c r="H73" s="14" t="s">
        <v>247</v>
      </c>
      <c r="I73" s="14">
        <v>2</v>
      </c>
      <c r="J73" s="14" t="s">
        <v>513</v>
      </c>
      <c r="K73" s="14" t="s">
        <v>521</v>
      </c>
    </row>
    <row r="74" spans="1:11">
      <c r="A74" s="160"/>
      <c r="B74" s="14" t="s">
        <v>370</v>
      </c>
      <c r="C74" s="14">
        <v>40</v>
      </c>
      <c r="D74" s="14" t="s">
        <v>237</v>
      </c>
      <c r="E74" s="14">
        <v>5</v>
      </c>
      <c r="F74" s="14" t="s">
        <v>371</v>
      </c>
      <c r="G74" s="14">
        <v>1</v>
      </c>
      <c r="H74" s="14" t="s">
        <v>297</v>
      </c>
      <c r="I74" s="14">
        <v>2</v>
      </c>
      <c r="J74" s="14" t="s">
        <v>565</v>
      </c>
      <c r="K74" s="14" t="s">
        <v>1771</v>
      </c>
    </row>
    <row r="75" spans="1:11">
      <c r="A75" s="160"/>
      <c r="B75" s="14" t="s">
        <v>372</v>
      </c>
      <c r="C75" s="14">
        <v>45</v>
      </c>
      <c r="D75" s="14" t="s">
        <v>265</v>
      </c>
      <c r="E75" s="14">
        <v>2</v>
      </c>
      <c r="F75" s="14" t="s">
        <v>247</v>
      </c>
      <c r="G75" s="14">
        <v>2</v>
      </c>
      <c r="H75" s="14" t="s">
        <v>302</v>
      </c>
      <c r="I75" s="14">
        <v>1</v>
      </c>
      <c r="J75" s="14" t="s">
        <v>566</v>
      </c>
      <c r="K75" s="14" t="s">
        <v>1771</v>
      </c>
    </row>
    <row r="76" spans="1:11">
      <c r="A76" s="160"/>
      <c r="B76" s="14" t="s">
        <v>373</v>
      </c>
      <c r="C76" s="14">
        <v>50</v>
      </c>
      <c r="D76" s="14" t="s">
        <v>374</v>
      </c>
      <c r="E76" s="14">
        <v>1</v>
      </c>
      <c r="F76" s="14" t="s">
        <v>247</v>
      </c>
      <c r="G76" s="14">
        <v>3</v>
      </c>
      <c r="H76" s="14" t="s">
        <v>298</v>
      </c>
      <c r="I76" s="14">
        <v>2</v>
      </c>
      <c r="J76" s="14" t="s">
        <v>567</v>
      </c>
      <c r="K76" s="14" t="s">
        <v>522</v>
      </c>
    </row>
    <row r="77" spans="1:11">
      <c r="A77" s="160"/>
      <c r="B77" s="14" t="s">
        <v>375</v>
      </c>
      <c r="C77" s="14">
        <v>60</v>
      </c>
      <c r="D77" s="14" t="s">
        <v>288</v>
      </c>
      <c r="E77" s="14">
        <v>1</v>
      </c>
      <c r="F77" s="14" t="s">
        <v>307</v>
      </c>
      <c r="G77" s="14">
        <v>1</v>
      </c>
      <c r="H77" s="14" t="s">
        <v>297</v>
      </c>
      <c r="I77" s="14">
        <v>2</v>
      </c>
      <c r="J77" s="14" t="s">
        <v>566</v>
      </c>
      <c r="K77" s="14" t="s">
        <v>523</v>
      </c>
    </row>
    <row r="78" spans="1:11">
      <c r="A78" s="160"/>
      <c r="B78" s="14" t="s">
        <v>376</v>
      </c>
      <c r="C78" s="14">
        <v>70</v>
      </c>
      <c r="D78" s="14" t="s">
        <v>365</v>
      </c>
      <c r="E78" s="14">
        <v>1</v>
      </c>
      <c r="F78" s="14" t="s">
        <v>237</v>
      </c>
      <c r="G78" s="14">
        <v>3</v>
      </c>
      <c r="H78" s="14" t="s">
        <v>308</v>
      </c>
      <c r="I78" s="14">
        <v>2</v>
      </c>
      <c r="J78" s="14" t="s">
        <v>560</v>
      </c>
      <c r="K78" s="14" t="s">
        <v>524</v>
      </c>
    </row>
    <row r="79" spans="1:11">
      <c r="A79" s="160"/>
      <c r="B79" s="14" t="s">
        <v>377</v>
      </c>
      <c r="C79" s="14">
        <v>70</v>
      </c>
      <c r="D79" s="14" t="s">
        <v>289</v>
      </c>
      <c r="E79" s="14">
        <v>1</v>
      </c>
      <c r="F79" s="14" t="s">
        <v>308</v>
      </c>
      <c r="G79" s="14">
        <v>2</v>
      </c>
      <c r="H79" s="14" t="s">
        <v>297</v>
      </c>
      <c r="I79" s="14">
        <v>2</v>
      </c>
      <c r="J79" s="14" t="s">
        <v>568</v>
      </c>
      <c r="K79" s="14" t="s">
        <v>1771</v>
      </c>
    </row>
    <row r="80" spans="1:11">
      <c r="A80" s="160"/>
      <c r="B80" s="14" t="s">
        <v>378</v>
      </c>
      <c r="C80" s="14">
        <v>80</v>
      </c>
      <c r="D80" s="14" t="s">
        <v>255</v>
      </c>
      <c r="E80" s="14">
        <v>3</v>
      </c>
      <c r="F80" s="14" t="s">
        <v>361</v>
      </c>
      <c r="G80" s="14">
        <v>5</v>
      </c>
      <c r="H80" s="14" t="s">
        <v>309</v>
      </c>
      <c r="I80" s="14">
        <v>1</v>
      </c>
      <c r="J80" s="14" t="s">
        <v>569</v>
      </c>
      <c r="K80" s="14" t="s">
        <v>525</v>
      </c>
    </row>
    <row r="81" spans="1:11">
      <c r="A81" s="160"/>
      <c r="B81" s="14" t="s">
        <v>379</v>
      </c>
      <c r="C81" s="14">
        <v>90</v>
      </c>
      <c r="D81" s="14" t="s">
        <v>237</v>
      </c>
      <c r="E81" s="14">
        <v>2</v>
      </c>
      <c r="F81" s="14" t="s">
        <v>256</v>
      </c>
      <c r="G81" s="14">
        <v>3</v>
      </c>
      <c r="H81" s="14" t="s">
        <v>290</v>
      </c>
      <c r="I81" s="14">
        <v>3</v>
      </c>
      <c r="J81" s="14" t="s">
        <v>570</v>
      </c>
      <c r="K81" s="14" t="s">
        <v>557</v>
      </c>
    </row>
    <row r="82" spans="1:11">
      <c r="A82" s="160"/>
      <c r="B82" s="14" t="s">
        <v>380</v>
      </c>
      <c r="C82" s="14">
        <v>100</v>
      </c>
      <c r="D82" s="14" t="s">
        <v>381</v>
      </c>
      <c r="E82" s="14">
        <v>3</v>
      </c>
      <c r="F82" s="14" t="s">
        <v>237</v>
      </c>
      <c r="G82" s="14">
        <v>5</v>
      </c>
      <c r="H82" s="14" t="s">
        <v>310</v>
      </c>
      <c r="I82" s="14">
        <v>1</v>
      </c>
      <c r="J82" s="14" t="s">
        <v>571</v>
      </c>
      <c r="K82" s="14" t="s">
        <v>558</v>
      </c>
    </row>
    <row r="83" spans="1:11">
      <c r="A83" s="160"/>
      <c r="B83" s="14" t="s">
        <v>382</v>
      </c>
      <c r="C83" s="14">
        <v>110</v>
      </c>
      <c r="D83" s="14" t="s">
        <v>79</v>
      </c>
      <c r="E83" s="14">
        <v>1</v>
      </c>
      <c r="F83" s="14" t="s">
        <v>258</v>
      </c>
      <c r="G83" s="14">
        <v>1</v>
      </c>
      <c r="H83" s="14" t="s">
        <v>312</v>
      </c>
      <c r="I83" s="14">
        <v>1</v>
      </c>
      <c r="J83" s="14" t="s">
        <v>572</v>
      </c>
      <c r="K83" s="14" t="s">
        <v>559</v>
      </c>
    </row>
    <row r="84" spans="1:11">
      <c r="A84" s="160"/>
      <c r="B84" s="14" t="s">
        <v>383</v>
      </c>
      <c r="C84" s="14">
        <v>120</v>
      </c>
      <c r="D84" s="14" t="s">
        <v>293</v>
      </c>
      <c r="E84" s="14">
        <v>1</v>
      </c>
      <c r="F84" s="14" t="s">
        <v>384</v>
      </c>
      <c r="G84" s="14">
        <v>1</v>
      </c>
      <c r="H84" s="14" t="s">
        <v>313</v>
      </c>
      <c r="I84" s="14">
        <v>1</v>
      </c>
      <c r="J84" s="14" t="s">
        <v>573</v>
      </c>
      <c r="K84" s="14" t="s">
        <v>2465</v>
      </c>
    </row>
    <row r="85" spans="1:11">
      <c r="A85" s="160"/>
      <c r="B85" s="14" t="s">
        <v>385</v>
      </c>
      <c r="C85" s="14">
        <v>130</v>
      </c>
      <c r="D85" s="14" t="s">
        <v>386</v>
      </c>
      <c r="E85" s="14">
        <v>1</v>
      </c>
      <c r="F85" s="14" t="s">
        <v>258</v>
      </c>
      <c r="G85" s="14">
        <v>1</v>
      </c>
      <c r="H85" s="14" t="s">
        <v>313</v>
      </c>
      <c r="I85" s="14">
        <v>1</v>
      </c>
      <c r="J85" s="14" t="s">
        <v>574</v>
      </c>
      <c r="K85" s="14" t="s">
        <v>2466</v>
      </c>
    </row>
    <row r="86" spans="1:11">
      <c r="A86" s="160"/>
      <c r="B86" s="14" t="s">
        <v>1780</v>
      </c>
      <c r="C86" s="14">
        <v>140</v>
      </c>
      <c r="D86" s="14" t="s">
        <v>1765</v>
      </c>
      <c r="E86" s="14">
        <v>1</v>
      </c>
      <c r="F86" s="14" t="s">
        <v>256</v>
      </c>
      <c r="G86" s="14">
        <v>1</v>
      </c>
      <c r="H86" s="14" t="s">
        <v>314</v>
      </c>
      <c r="I86" s="14">
        <v>1</v>
      </c>
      <c r="J86" s="14"/>
      <c r="K86" s="14"/>
    </row>
    <row r="87" spans="1:11">
      <c r="A87" s="160"/>
      <c r="B87" s="14" t="s">
        <v>1781</v>
      </c>
      <c r="C87" s="14">
        <v>150</v>
      </c>
      <c r="D87" s="14" t="s">
        <v>1766</v>
      </c>
      <c r="E87" s="14">
        <v>1</v>
      </c>
      <c r="F87" s="14" t="s">
        <v>384</v>
      </c>
      <c r="G87" s="14">
        <v>1</v>
      </c>
      <c r="H87" s="14" t="s">
        <v>1783</v>
      </c>
      <c r="I87" s="14">
        <v>1</v>
      </c>
      <c r="J87" s="14"/>
      <c r="K87" s="14"/>
    </row>
    <row r="88" spans="1:11">
      <c r="A88" s="160"/>
      <c r="B88" s="14" t="s">
        <v>1782</v>
      </c>
      <c r="C88" s="14">
        <v>160</v>
      </c>
      <c r="D88" s="14" t="s">
        <v>1767</v>
      </c>
      <c r="E88" s="14">
        <v>1</v>
      </c>
      <c r="F88" s="14" t="s">
        <v>260</v>
      </c>
      <c r="G88" s="14">
        <v>1</v>
      </c>
      <c r="H88" s="14" t="s">
        <v>1784</v>
      </c>
      <c r="I88" s="14">
        <v>1</v>
      </c>
      <c r="J88" s="14"/>
      <c r="K88" s="14"/>
    </row>
    <row r="89" spans="1:11">
      <c r="A89" s="160"/>
      <c r="B89" s="14" t="s">
        <v>1810</v>
      </c>
      <c r="C89" s="14">
        <v>170</v>
      </c>
      <c r="D89" s="14" t="s">
        <v>1811</v>
      </c>
      <c r="E89" s="14">
        <v>1</v>
      </c>
      <c r="F89" s="14" t="s">
        <v>1812</v>
      </c>
      <c r="G89" s="14">
        <v>1</v>
      </c>
      <c r="H89" s="14" t="s">
        <v>1803</v>
      </c>
      <c r="I89" s="14">
        <v>1</v>
      </c>
      <c r="J89" s="14" t="s">
        <v>1813</v>
      </c>
      <c r="K89" s="14" t="s">
        <v>1831</v>
      </c>
    </row>
    <row r="90" spans="1:11">
      <c r="A90" s="160"/>
      <c r="B90" s="14" t="s">
        <v>1815</v>
      </c>
      <c r="C90" s="14">
        <v>180</v>
      </c>
      <c r="D90" s="14" t="s">
        <v>1816</v>
      </c>
      <c r="E90" s="14">
        <v>1</v>
      </c>
      <c r="F90" s="14" t="s">
        <v>1817</v>
      </c>
      <c r="G90" s="14">
        <v>1</v>
      </c>
      <c r="H90" s="14" t="s">
        <v>1808</v>
      </c>
      <c r="I90" s="14">
        <v>1</v>
      </c>
      <c r="J90" s="14" t="s">
        <v>1814</v>
      </c>
      <c r="K90" s="14" t="s">
        <v>1831</v>
      </c>
    </row>
    <row r="92" spans="1:11">
      <c r="A92" s="160" t="s">
        <v>4074</v>
      </c>
      <c r="B92" s="14" t="s">
        <v>387</v>
      </c>
      <c r="C92" s="14">
        <v>1</v>
      </c>
      <c r="D92" s="14" t="s">
        <v>235</v>
      </c>
      <c r="E92" s="14">
        <v>2</v>
      </c>
      <c r="F92" s="14"/>
      <c r="G92" s="14"/>
      <c r="H92" s="14"/>
      <c r="I92" s="14"/>
      <c r="J92" s="14"/>
      <c r="K92" s="14"/>
    </row>
    <row r="93" spans="1:11">
      <c r="A93" s="160"/>
      <c r="B93" s="14" t="s">
        <v>388</v>
      </c>
      <c r="C93" s="14">
        <v>5</v>
      </c>
      <c r="D93" s="14" t="s">
        <v>387</v>
      </c>
      <c r="E93" s="14">
        <v>2</v>
      </c>
      <c r="F93" s="14"/>
      <c r="G93" s="14"/>
      <c r="H93" s="14"/>
      <c r="I93" s="14"/>
      <c r="J93" s="14"/>
      <c r="K93" s="14"/>
    </row>
    <row r="94" spans="1:11">
      <c r="A94" s="160"/>
      <c r="B94" s="14" t="s">
        <v>389</v>
      </c>
      <c r="C94" s="14">
        <v>10</v>
      </c>
      <c r="D94" s="14" t="s">
        <v>239</v>
      </c>
      <c r="E94" s="14">
        <v>2</v>
      </c>
      <c r="F94" s="14"/>
      <c r="G94" s="14"/>
      <c r="H94" s="14"/>
      <c r="I94" s="14"/>
      <c r="J94" s="14"/>
      <c r="K94" s="14"/>
    </row>
    <row r="95" spans="1:11">
      <c r="A95" s="160"/>
      <c r="B95" s="14" t="s">
        <v>390</v>
      </c>
      <c r="C95" s="14">
        <v>15</v>
      </c>
      <c r="D95" s="14" t="s">
        <v>389</v>
      </c>
      <c r="E95" s="14">
        <v>2</v>
      </c>
      <c r="F95" s="14"/>
      <c r="G95" s="14"/>
      <c r="H95" s="14"/>
      <c r="I95" s="14"/>
      <c r="J95" s="14"/>
      <c r="K95" s="14"/>
    </row>
    <row r="96" spans="1:11">
      <c r="A96" s="160"/>
      <c r="B96" s="14" t="s">
        <v>391</v>
      </c>
      <c r="C96" s="14">
        <v>20</v>
      </c>
      <c r="D96" s="14" t="s">
        <v>243</v>
      </c>
      <c r="E96" s="14">
        <v>4</v>
      </c>
      <c r="F96" s="14"/>
      <c r="G96" s="14"/>
      <c r="H96" s="14"/>
      <c r="I96" s="14"/>
      <c r="J96" s="14"/>
      <c r="K96" s="14"/>
    </row>
    <row r="97" spans="1:11">
      <c r="A97" s="160"/>
      <c r="B97" s="14" t="s">
        <v>392</v>
      </c>
      <c r="C97" s="14">
        <v>25</v>
      </c>
      <c r="D97" s="14" t="s">
        <v>391</v>
      </c>
      <c r="E97" s="14">
        <v>2</v>
      </c>
      <c r="F97" s="14"/>
      <c r="G97" s="14"/>
      <c r="H97" s="14"/>
      <c r="I97" s="14"/>
      <c r="J97" s="14"/>
      <c r="K97" s="14"/>
    </row>
    <row r="98" spans="1:11">
      <c r="A98" s="160"/>
      <c r="B98" s="14" t="s">
        <v>393</v>
      </c>
      <c r="C98" s="14">
        <v>30</v>
      </c>
      <c r="D98" s="14" t="s">
        <v>243</v>
      </c>
      <c r="E98" s="14">
        <v>4</v>
      </c>
      <c r="F98" s="14"/>
      <c r="G98" s="14"/>
      <c r="H98" s="14"/>
      <c r="I98" s="14"/>
      <c r="J98" s="14"/>
      <c r="K98" s="14"/>
    </row>
    <row r="99" spans="1:11">
      <c r="A99" s="160"/>
      <c r="B99" s="14" t="s">
        <v>394</v>
      </c>
      <c r="C99" s="14">
        <v>35</v>
      </c>
      <c r="D99" s="14" t="s">
        <v>393</v>
      </c>
      <c r="E99" s="14">
        <v>2</v>
      </c>
      <c r="F99" s="14"/>
      <c r="G99" s="14"/>
      <c r="H99" s="14"/>
      <c r="I99" s="14"/>
      <c r="J99" s="14"/>
      <c r="K99" s="14"/>
    </row>
    <row r="100" spans="1:11">
      <c r="A100" s="160"/>
      <c r="B100" s="14" t="s">
        <v>395</v>
      </c>
      <c r="C100" s="14">
        <v>40</v>
      </c>
      <c r="D100" s="14" t="s">
        <v>248</v>
      </c>
      <c r="E100" s="14">
        <v>2</v>
      </c>
      <c r="F100" s="14" t="s">
        <v>387</v>
      </c>
      <c r="G100" s="14">
        <v>4</v>
      </c>
      <c r="H100" s="14"/>
      <c r="I100" s="14"/>
      <c r="J100" s="14"/>
      <c r="K100" s="14"/>
    </row>
    <row r="101" spans="1:11">
      <c r="A101" s="160"/>
      <c r="B101" s="14" t="s">
        <v>396</v>
      </c>
      <c r="C101" s="14">
        <v>50</v>
      </c>
      <c r="D101" s="14" t="s">
        <v>248</v>
      </c>
      <c r="E101" s="14">
        <v>3</v>
      </c>
      <c r="F101" s="14" t="s">
        <v>387</v>
      </c>
      <c r="G101" s="14">
        <v>4</v>
      </c>
      <c r="H101" s="14"/>
      <c r="I101" s="14"/>
      <c r="J101" s="14"/>
      <c r="K101" s="14"/>
    </row>
    <row r="102" spans="1:11">
      <c r="A102" s="160"/>
      <c r="B102" s="14" t="s">
        <v>397</v>
      </c>
      <c r="C102" s="14">
        <v>60</v>
      </c>
      <c r="D102" s="14" t="s">
        <v>252</v>
      </c>
      <c r="E102" s="14">
        <v>3</v>
      </c>
      <c r="F102" s="14"/>
      <c r="G102" s="14"/>
      <c r="H102" s="14"/>
      <c r="I102" s="14"/>
      <c r="J102" s="14"/>
      <c r="K102" s="14"/>
    </row>
    <row r="103" spans="1:11">
      <c r="A103" s="160"/>
      <c r="B103" s="14" t="s">
        <v>398</v>
      </c>
      <c r="C103" s="14">
        <v>70</v>
      </c>
      <c r="D103" s="14" t="s">
        <v>397</v>
      </c>
      <c r="E103" s="14">
        <v>2</v>
      </c>
      <c r="F103" s="14"/>
      <c r="G103" s="14"/>
      <c r="H103" s="14"/>
      <c r="I103" s="14"/>
      <c r="J103" s="14"/>
      <c r="K103" s="14"/>
    </row>
    <row r="104" spans="1:11">
      <c r="A104" s="160"/>
      <c r="B104" s="14" t="s">
        <v>399</v>
      </c>
      <c r="C104" s="14">
        <v>80</v>
      </c>
      <c r="D104" s="14" t="s">
        <v>213</v>
      </c>
      <c r="E104" s="14">
        <v>3</v>
      </c>
      <c r="F104" s="14" t="s">
        <v>395</v>
      </c>
      <c r="G104" s="14">
        <v>2</v>
      </c>
      <c r="H104" s="14"/>
      <c r="I104" s="14"/>
      <c r="J104" s="14"/>
      <c r="K104" s="14"/>
    </row>
    <row r="105" spans="1:11">
      <c r="A105" s="160"/>
      <c r="B105" s="14" t="s">
        <v>400</v>
      </c>
      <c r="C105" s="14">
        <v>90</v>
      </c>
      <c r="D105" s="14" t="s">
        <v>142</v>
      </c>
      <c r="E105" s="14">
        <v>2</v>
      </c>
      <c r="F105" s="14" t="s">
        <v>396</v>
      </c>
      <c r="G105" s="14">
        <v>2</v>
      </c>
      <c r="H105" s="14"/>
      <c r="I105" s="14"/>
      <c r="J105" s="14"/>
      <c r="K105" s="14"/>
    </row>
    <row r="106" spans="1:11">
      <c r="A106" s="160"/>
      <c r="B106" s="14" t="s">
        <v>401</v>
      </c>
      <c r="C106" s="14">
        <v>100</v>
      </c>
      <c r="D106" s="14" t="s">
        <v>216</v>
      </c>
      <c r="E106" s="14">
        <v>2</v>
      </c>
      <c r="F106" s="14" t="s">
        <v>398</v>
      </c>
      <c r="G106" s="14">
        <v>1</v>
      </c>
      <c r="H106" s="14"/>
      <c r="I106" s="14"/>
      <c r="J106" s="14"/>
      <c r="K106" s="14"/>
    </row>
    <row r="107" spans="1:11">
      <c r="A107" s="160"/>
      <c r="B107" s="14" t="s">
        <v>402</v>
      </c>
      <c r="C107" s="14">
        <v>110</v>
      </c>
      <c r="D107" s="14" t="s">
        <v>219</v>
      </c>
      <c r="E107" s="14">
        <v>2</v>
      </c>
      <c r="F107" s="14" t="s">
        <v>213</v>
      </c>
      <c r="G107" s="14">
        <v>1</v>
      </c>
      <c r="H107" s="14" t="s">
        <v>398</v>
      </c>
      <c r="I107" s="14">
        <v>1</v>
      </c>
      <c r="J107" s="14"/>
      <c r="K107" s="14"/>
    </row>
    <row r="108" spans="1:11">
      <c r="A108" s="160"/>
      <c r="B108" s="14" t="s">
        <v>403</v>
      </c>
      <c r="C108" s="14">
        <v>120</v>
      </c>
      <c r="D108" s="14" t="s">
        <v>143</v>
      </c>
      <c r="E108" s="14">
        <v>2</v>
      </c>
      <c r="F108" s="14" t="s">
        <v>275</v>
      </c>
      <c r="G108" s="14">
        <v>1</v>
      </c>
      <c r="H108" s="14" t="s">
        <v>398</v>
      </c>
      <c r="I108" s="14">
        <v>1</v>
      </c>
      <c r="J108" s="14"/>
      <c r="K108" s="14"/>
    </row>
    <row r="109" spans="1:11">
      <c r="A109" s="160"/>
      <c r="B109" s="14" t="s">
        <v>404</v>
      </c>
      <c r="C109" s="14">
        <v>130</v>
      </c>
      <c r="D109" s="14" t="s">
        <v>142</v>
      </c>
      <c r="E109" s="14">
        <v>1</v>
      </c>
      <c r="F109" s="14" t="s">
        <v>397</v>
      </c>
      <c r="G109" s="14">
        <v>2</v>
      </c>
      <c r="H109" s="14" t="s">
        <v>405</v>
      </c>
      <c r="I109" s="14">
        <v>1</v>
      </c>
      <c r="J109" s="14"/>
      <c r="K109" s="14"/>
    </row>
    <row r="110" spans="1:11">
      <c r="A110" s="160"/>
      <c r="B110" s="14" t="s">
        <v>1787</v>
      </c>
      <c r="C110" s="14">
        <v>140</v>
      </c>
      <c r="D110" s="14" t="s">
        <v>1864</v>
      </c>
      <c r="E110" s="14">
        <v>2</v>
      </c>
      <c r="F110" s="14" t="s">
        <v>401</v>
      </c>
      <c r="G110" s="14">
        <v>2</v>
      </c>
      <c r="H110" s="14"/>
      <c r="I110" s="14"/>
      <c r="J110" s="14"/>
      <c r="K110" s="14"/>
    </row>
    <row r="111" spans="1:11">
      <c r="A111" s="160"/>
      <c r="B111" s="14" t="s">
        <v>1788</v>
      </c>
      <c r="C111" s="14">
        <v>150</v>
      </c>
      <c r="D111" s="14" t="s">
        <v>1757</v>
      </c>
      <c r="E111" s="14">
        <v>2</v>
      </c>
      <c r="F111" s="14" t="s">
        <v>402</v>
      </c>
      <c r="G111" s="14">
        <v>2</v>
      </c>
      <c r="H111" s="14"/>
      <c r="I111" s="14"/>
      <c r="J111" s="14"/>
      <c r="K111" s="14"/>
    </row>
    <row r="112" spans="1:11">
      <c r="A112" s="160"/>
      <c r="B112" s="14" t="s">
        <v>1789</v>
      </c>
      <c r="C112" s="14">
        <v>160</v>
      </c>
      <c r="D112" s="14" t="s">
        <v>1758</v>
      </c>
      <c r="E112" s="14">
        <v>2</v>
      </c>
      <c r="F112" s="14" t="s">
        <v>403</v>
      </c>
      <c r="G112" s="14">
        <v>2</v>
      </c>
      <c r="H112" s="14"/>
      <c r="I112" s="14"/>
      <c r="J112" s="14"/>
      <c r="K112" s="14"/>
    </row>
    <row r="113" spans="1:11">
      <c r="A113" s="160"/>
      <c r="B113" s="14" t="s">
        <v>1818</v>
      </c>
      <c r="C113" s="14">
        <v>170</v>
      </c>
      <c r="D113" s="14" t="s">
        <v>1787</v>
      </c>
      <c r="E113" s="14">
        <v>1</v>
      </c>
      <c r="F113" s="14" t="s">
        <v>402</v>
      </c>
      <c r="G113" s="14">
        <v>1</v>
      </c>
      <c r="H113" s="14"/>
      <c r="I113" s="14"/>
      <c r="J113" s="14"/>
      <c r="K113" s="14"/>
    </row>
    <row r="114" spans="1:11">
      <c r="A114" s="160"/>
      <c r="B114" s="14" t="s">
        <v>1819</v>
      </c>
      <c r="C114" s="14">
        <v>180</v>
      </c>
      <c r="D114" s="14" t="s">
        <v>1788</v>
      </c>
      <c r="E114" s="14">
        <v>1</v>
      </c>
      <c r="F114" s="14" t="s">
        <v>403</v>
      </c>
      <c r="G114" s="14">
        <v>1</v>
      </c>
      <c r="H114" s="14"/>
      <c r="I114" s="14"/>
      <c r="J114" s="14"/>
      <c r="K114" s="14"/>
    </row>
    <row r="116" spans="1:11">
      <c r="A116" s="160" t="s">
        <v>1865</v>
      </c>
      <c r="B116" s="14" t="s">
        <v>406</v>
      </c>
      <c r="C116" s="14">
        <v>1</v>
      </c>
      <c r="D116" s="14" t="s">
        <v>164</v>
      </c>
      <c r="E116" s="14">
        <v>1</v>
      </c>
      <c r="F116" s="14" t="s">
        <v>163</v>
      </c>
      <c r="G116" s="14">
        <v>3</v>
      </c>
      <c r="H116" s="14"/>
      <c r="I116" s="14"/>
      <c r="J116" s="14"/>
      <c r="K116" s="14"/>
    </row>
    <row r="117" spans="1:11">
      <c r="A117" s="160"/>
      <c r="B117" s="14" t="s">
        <v>407</v>
      </c>
      <c r="C117" s="14">
        <v>5</v>
      </c>
      <c r="D117" s="14" t="s">
        <v>165</v>
      </c>
      <c r="E117" s="14">
        <v>2</v>
      </c>
      <c r="F117" s="14" t="s">
        <v>163</v>
      </c>
      <c r="G117" s="14">
        <v>3</v>
      </c>
      <c r="H117" s="14"/>
      <c r="I117" s="14"/>
      <c r="J117" s="14"/>
      <c r="K117" s="14"/>
    </row>
    <row r="118" spans="1:11">
      <c r="A118" s="160"/>
      <c r="B118" s="14" t="s">
        <v>408</v>
      </c>
      <c r="C118" s="14">
        <v>10</v>
      </c>
      <c r="D118" s="14" t="s">
        <v>168</v>
      </c>
      <c r="E118" s="14">
        <v>1</v>
      </c>
      <c r="F118" s="14" t="s">
        <v>163</v>
      </c>
      <c r="G118" s="14">
        <v>3</v>
      </c>
      <c r="H118" s="14"/>
      <c r="I118" s="14"/>
      <c r="J118" s="14"/>
      <c r="K118" s="14"/>
    </row>
    <row r="119" spans="1:11">
      <c r="A119" s="160"/>
      <c r="B119" s="14" t="s">
        <v>409</v>
      </c>
      <c r="C119" s="14">
        <v>15</v>
      </c>
      <c r="D119" s="14" t="s">
        <v>169</v>
      </c>
      <c r="E119" s="14">
        <v>1</v>
      </c>
      <c r="F119" s="14" t="s">
        <v>163</v>
      </c>
      <c r="G119" s="14">
        <v>3</v>
      </c>
      <c r="H119" s="14"/>
      <c r="I119" s="14"/>
      <c r="J119" s="14"/>
      <c r="K119" s="14"/>
    </row>
    <row r="120" spans="1:11">
      <c r="A120" s="160"/>
      <c r="B120" s="14" t="s">
        <v>410</v>
      </c>
      <c r="C120" s="14">
        <v>20</v>
      </c>
      <c r="D120" s="14" t="s">
        <v>170</v>
      </c>
      <c r="E120" s="14">
        <v>1</v>
      </c>
      <c r="F120" s="14" t="s">
        <v>163</v>
      </c>
      <c r="G120" s="14">
        <v>3</v>
      </c>
      <c r="H120" s="14"/>
      <c r="I120" s="14"/>
      <c r="J120" s="14"/>
      <c r="K120" s="14"/>
    </row>
    <row r="121" spans="1:11">
      <c r="A121" s="160"/>
      <c r="B121" s="14" t="s">
        <v>411</v>
      </c>
      <c r="C121" s="14">
        <v>25</v>
      </c>
      <c r="D121" s="14" t="s">
        <v>165</v>
      </c>
      <c r="E121" s="14">
        <v>1</v>
      </c>
      <c r="F121" s="14" t="s">
        <v>170</v>
      </c>
      <c r="G121" s="14">
        <v>1</v>
      </c>
      <c r="H121" s="14" t="s">
        <v>163</v>
      </c>
      <c r="I121" s="14">
        <v>3</v>
      </c>
    </row>
    <row r="122" spans="1:11">
      <c r="A122" s="160"/>
      <c r="B122" s="14" t="s">
        <v>412</v>
      </c>
      <c r="C122" s="14">
        <v>30</v>
      </c>
      <c r="D122" s="14" t="s">
        <v>408</v>
      </c>
      <c r="E122" s="14">
        <v>2</v>
      </c>
      <c r="F122" s="14" t="s">
        <v>163</v>
      </c>
      <c r="G122" s="14">
        <v>3</v>
      </c>
      <c r="H122" s="14"/>
      <c r="I122" s="14"/>
      <c r="J122" s="14"/>
      <c r="K122" s="14"/>
    </row>
    <row r="123" spans="1:11">
      <c r="A123" s="160"/>
      <c r="B123" s="14" t="s">
        <v>413</v>
      </c>
      <c r="C123" s="14">
        <v>35</v>
      </c>
      <c r="D123" s="14" t="s">
        <v>408</v>
      </c>
      <c r="E123" s="14">
        <v>3</v>
      </c>
      <c r="F123" s="14" t="s">
        <v>163</v>
      </c>
      <c r="G123" s="14">
        <v>3</v>
      </c>
      <c r="H123" s="14"/>
      <c r="I123" s="14"/>
      <c r="J123" s="14"/>
      <c r="K123" s="14"/>
    </row>
    <row r="124" spans="1:11">
      <c r="A124" s="160"/>
      <c r="B124" s="14" t="s">
        <v>414</v>
      </c>
      <c r="C124" s="14">
        <v>40</v>
      </c>
      <c r="D124" s="14" t="s">
        <v>410</v>
      </c>
      <c r="E124" s="14">
        <v>1</v>
      </c>
      <c r="F124" s="14" t="s">
        <v>168</v>
      </c>
      <c r="G124" s="14">
        <v>3</v>
      </c>
      <c r="H124" s="14" t="s">
        <v>163</v>
      </c>
      <c r="I124" s="14">
        <v>5</v>
      </c>
      <c r="J124" s="14"/>
      <c r="K124" s="14"/>
    </row>
    <row r="125" spans="1:11">
      <c r="A125" s="160"/>
      <c r="B125" s="14" t="s">
        <v>415</v>
      </c>
      <c r="C125" s="14">
        <v>50</v>
      </c>
      <c r="D125" s="14" t="s">
        <v>171</v>
      </c>
      <c r="E125" s="14">
        <v>3</v>
      </c>
      <c r="F125" s="14" t="s">
        <v>163</v>
      </c>
      <c r="G125" s="14">
        <v>5</v>
      </c>
      <c r="H125" s="14"/>
      <c r="I125" s="14"/>
      <c r="J125" s="14"/>
      <c r="K125" s="14"/>
    </row>
    <row r="126" spans="1:11">
      <c r="A126" s="160"/>
      <c r="B126" s="14" t="s">
        <v>416</v>
      </c>
      <c r="C126" s="14">
        <v>60</v>
      </c>
      <c r="D126" s="14" t="s">
        <v>172</v>
      </c>
      <c r="E126" s="14">
        <v>2</v>
      </c>
      <c r="F126" s="14" t="s">
        <v>168</v>
      </c>
      <c r="G126" s="14">
        <v>3</v>
      </c>
      <c r="H126" s="14" t="s">
        <v>163</v>
      </c>
      <c r="I126" s="14">
        <v>5</v>
      </c>
      <c r="J126" s="14"/>
      <c r="K126" s="14"/>
    </row>
    <row r="127" spans="1:11">
      <c r="A127" s="160"/>
      <c r="B127" s="14" t="s">
        <v>417</v>
      </c>
      <c r="C127" s="14">
        <v>70</v>
      </c>
      <c r="D127" s="14" t="s">
        <v>173</v>
      </c>
      <c r="E127" s="14">
        <v>2</v>
      </c>
      <c r="F127" s="14" t="s">
        <v>168</v>
      </c>
      <c r="G127" s="14">
        <v>3</v>
      </c>
      <c r="H127" s="14" t="s">
        <v>163</v>
      </c>
      <c r="I127" s="14">
        <v>5</v>
      </c>
      <c r="J127" s="14"/>
      <c r="K127" s="14"/>
    </row>
    <row r="128" spans="1:11">
      <c r="A128" s="160"/>
      <c r="B128" s="14" t="s">
        <v>418</v>
      </c>
      <c r="C128" s="14">
        <v>80</v>
      </c>
      <c r="D128" s="14" t="s">
        <v>174</v>
      </c>
      <c r="E128" s="14">
        <v>2</v>
      </c>
      <c r="F128" s="14" t="s">
        <v>163</v>
      </c>
      <c r="G128" s="14">
        <v>8</v>
      </c>
      <c r="H128" s="14"/>
      <c r="I128" s="14"/>
      <c r="J128" s="14"/>
      <c r="K128" s="14"/>
    </row>
    <row r="129" spans="1:11">
      <c r="A129" s="160"/>
      <c r="B129" s="14" t="s">
        <v>419</v>
      </c>
      <c r="C129" s="14">
        <v>90</v>
      </c>
      <c r="D129" s="14" t="s">
        <v>420</v>
      </c>
      <c r="E129" s="14">
        <v>2</v>
      </c>
      <c r="F129" s="14" t="s">
        <v>163</v>
      </c>
      <c r="G129" s="14">
        <v>8</v>
      </c>
      <c r="H129" s="14"/>
      <c r="I129" s="14"/>
      <c r="J129" s="14"/>
      <c r="K129" s="14"/>
    </row>
    <row r="130" spans="1:11">
      <c r="A130" s="160"/>
      <c r="B130" s="14" t="s">
        <v>421</v>
      </c>
      <c r="C130" s="14">
        <v>100</v>
      </c>
      <c r="D130" s="14" t="s">
        <v>177</v>
      </c>
      <c r="E130" s="14">
        <v>2</v>
      </c>
      <c r="F130" s="14" t="s">
        <v>163</v>
      </c>
      <c r="G130" s="14">
        <v>8</v>
      </c>
      <c r="H130" s="14"/>
      <c r="I130" s="14"/>
      <c r="J130" s="14"/>
      <c r="K130" s="14"/>
    </row>
    <row r="131" spans="1:11">
      <c r="A131" s="160"/>
      <c r="B131" s="14" t="s">
        <v>405</v>
      </c>
      <c r="C131" s="14">
        <v>110</v>
      </c>
      <c r="D131" s="14" t="s">
        <v>178</v>
      </c>
      <c r="E131" s="14">
        <v>2</v>
      </c>
      <c r="F131" s="14" t="s">
        <v>163</v>
      </c>
      <c r="G131" s="14">
        <v>8</v>
      </c>
      <c r="H131" s="14" t="s">
        <v>422</v>
      </c>
      <c r="I131" s="14">
        <v>3</v>
      </c>
      <c r="J131" s="14"/>
      <c r="K131" s="14"/>
    </row>
    <row r="132" spans="1:11">
      <c r="A132" s="160"/>
      <c r="B132" s="14" t="s">
        <v>423</v>
      </c>
      <c r="C132" s="14">
        <v>120</v>
      </c>
      <c r="D132" s="14" t="s">
        <v>180</v>
      </c>
      <c r="E132" s="14">
        <v>2</v>
      </c>
      <c r="F132" s="14" t="s">
        <v>163</v>
      </c>
      <c r="G132" s="14">
        <v>8</v>
      </c>
      <c r="H132" s="14" t="s">
        <v>422</v>
      </c>
      <c r="I132" s="14">
        <v>3</v>
      </c>
      <c r="J132" s="14"/>
      <c r="K132" s="14"/>
    </row>
    <row r="133" spans="1:11">
      <c r="A133" s="160"/>
      <c r="B133" s="14" t="s">
        <v>424</v>
      </c>
      <c r="C133" s="14">
        <v>130</v>
      </c>
      <c r="D133" s="14" t="s">
        <v>181</v>
      </c>
      <c r="E133" s="14">
        <v>2</v>
      </c>
      <c r="F133" s="14" t="s">
        <v>163</v>
      </c>
      <c r="G133" s="14">
        <v>8</v>
      </c>
      <c r="H133" s="14" t="s">
        <v>422</v>
      </c>
      <c r="I133" s="14">
        <v>3</v>
      </c>
      <c r="J133" s="14"/>
      <c r="K133" s="14"/>
    </row>
    <row r="134" spans="1:11">
      <c r="A134" s="160"/>
      <c r="B134" s="14" t="s">
        <v>1790</v>
      </c>
      <c r="C134" s="14">
        <v>140</v>
      </c>
      <c r="D134" s="14" t="s">
        <v>1866</v>
      </c>
      <c r="E134" s="14">
        <v>2</v>
      </c>
      <c r="F134" s="14" t="s">
        <v>163</v>
      </c>
      <c r="G134" s="14">
        <v>10</v>
      </c>
      <c r="H134" s="14" t="s">
        <v>422</v>
      </c>
      <c r="I134" s="14">
        <v>5</v>
      </c>
      <c r="J134" s="14"/>
      <c r="K134" s="14"/>
    </row>
    <row r="135" spans="1:11">
      <c r="A135" s="160"/>
      <c r="B135" s="14" t="s">
        <v>1791</v>
      </c>
      <c r="C135" s="14">
        <v>150</v>
      </c>
      <c r="D135" s="14" t="s">
        <v>1760</v>
      </c>
      <c r="E135" s="14">
        <v>2</v>
      </c>
      <c r="F135" s="14" t="s">
        <v>163</v>
      </c>
      <c r="G135" s="14">
        <v>10</v>
      </c>
      <c r="H135" s="14" t="s">
        <v>422</v>
      </c>
      <c r="I135" s="14">
        <v>5</v>
      </c>
      <c r="J135" s="14"/>
      <c r="K135" s="14"/>
    </row>
    <row r="136" spans="1:11">
      <c r="A136" s="160"/>
      <c r="B136" s="14" t="s">
        <v>1792</v>
      </c>
      <c r="C136" s="14">
        <v>160</v>
      </c>
      <c r="D136" s="14" t="s">
        <v>1761</v>
      </c>
      <c r="E136" s="14">
        <v>2</v>
      </c>
      <c r="F136" s="14" t="s">
        <v>163</v>
      </c>
      <c r="G136" s="14">
        <v>10</v>
      </c>
      <c r="H136" s="14" t="s">
        <v>422</v>
      </c>
      <c r="I136" s="14">
        <v>5</v>
      </c>
      <c r="J136" s="14"/>
      <c r="K136" s="14"/>
    </row>
    <row r="137" spans="1:11">
      <c r="A137" s="160"/>
      <c r="B137" s="14" t="s">
        <v>1820</v>
      </c>
      <c r="C137" s="14">
        <v>170</v>
      </c>
      <c r="D137" s="14" t="s">
        <v>1821</v>
      </c>
      <c r="E137" s="14">
        <v>2</v>
      </c>
      <c r="F137" s="14" t="s">
        <v>163</v>
      </c>
      <c r="G137" s="14">
        <v>5</v>
      </c>
      <c r="H137" s="14" t="s">
        <v>422</v>
      </c>
      <c r="I137" s="14">
        <v>5</v>
      </c>
      <c r="J137" s="14"/>
      <c r="K137" s="14"/>
    </row>
    <row r="138" spans="1:11">
      <c r="A138" s="160"/>
      <c r="B138" s="14" t="s">
        <v>1822</v>
      </c>
      <c r="C138" s="14">
        <v>180</v>
      </c>
      <c r="D138" s="14" t="s">
        <v>1844</v>
      </c>
      <c r="E138" s="14">
        <v>2</v>
      </c>
      <c r="F138" s="14" t="s">
        <v>163</v>
      </c>
      <c r="G138" s="14">
        <v>5</v>
      </c>
      <c r="H138" s="14" t="s">
        <v>422</v>
      </c>
      <c r="I138" s="14">
        <v>5</v>
      </c>
      <c r="J138" s="14"/>
      <c r="K138" s="14"/>
    </row>
    <row r="140" spans="1:11">
      <c r="A140" s="160" t="s">
        <v>4066</v>
      </c>
      <c r="B140" s="14" t="s">
        <v>425</v>
      </c>
      <c r="C140" s="14">
        <v>1</v>
      </c>
      <c r="D140" s="14" t="s">
        <v>3973</v>
      </c>
      <c r="E140" s="14">
        <v>1</v>
      </c>
      <c r="F140" s="14" t="s">
        <v>422</v>
      </c>
      <c r="G140" s="14">
        <v>5</v>
      </c>
      <c r="H140" s="14"/>
      <c r="I140" s="14"/>
      <c r="J140" s="14"/>
      <c r="K140" s="14"/>
    </row>
    <row r="141" spans="1:11">
      <c r="A141" s="160"/>
      <c r="B141" s="14" t="s">
        <v>426</v>
      </c>
      <c r="C141" s="14">
        <v>5</v>
      </c>
      <c r="D141" s="14" t="s">
        <v>3991</v>
      </c>
      <c r="E141" s="14">
        <v>1</v>
      </c>
      <c r="F141" s="14" t="s">
        <v>422</v>
      </c>
      <c r="G141" s="14">
        <v>5</v>
      </c>
      <c r="H141" s="14"/>
      <c r="I141" s="14"/>
      <c r="J141" s="14"/>
      <c r="K141" s="14"/>
    </row>
    <row r="142" spans="1:11">
      <c r="A142" s="160"/>
      <c r="B142" s="14" t="s">
        <v>427</v>
      </c>
      <c r="C142" s="14">
        <v>10</v>
      </c>
      <c r="D142" s="14" t="s">
        <v>428</v>
      </c>
      <c r="E142" s="14">
        <v>1</v>
      </c>
      <c r="F142" s="14" t="s">
        <v>422</v>
      </c>
      <c r="G142" s="14">
        <v>5</v>
      </c>
      <c r="H142" s="14"/>
      <c r="I142" s="14"/>
      <c r="J142" s="14"/>
      <c r="K142" s="14"/>
    </row>
    <row r="143" spans="1:11">
      <c r="A143" s="160"/>
      <c r="B143" s="14" t="s">
        <v>429</v>
      </c>
      <c r="C143" s="14">
        <v>10</v>
      </c>
      <c r="D143" s="14" t="s">
        <v>4000</v>
      </c>
      <c r="E143" s="14">
        <v>1</v>
      </c>
      <c r="F143" s="14" t="s">
        <v>422</v>
      </c>
      <c r="G143" s="14">
        <v>5</v>
      </c>
      <c r="H143" s="14"/>
      <c r="I143" s="14"/>
      <c r="J143" s="14"/>
      <c r="K143" s="14"/>
    </row>
    <row r="144" spans="1:11">
      <c r="A144" s="160"/>
      <c r="B144" s="14" t="s">
        <v>430</v>
      </c>
      <c r="C144" s="14">
        <v>17</v>
      </c>
      <c r="D144" s="14" t="s">
        <v>4003</v>
      </c>
      <c r="E144" s="14">
        <v>1</v>
      </c>
      <c r="F144" s="14" t="s">
        <v>422</v>
      </c>
      <c r="G144" s="14">
        <v>5</v>
      </c>
      <c r="H144" s="14"/>
      <c r="I144" s="14"/>
      <c r="J144" s="14"/>
      <c r="K144" s="14"/>
    </row>
    <row r="145" spans="1:11">
      <c r="A145" s="160"/>
      <c r="B145" s="14" t="s">
        <v>1867</v>
      </c>
      <c r="C145" s="14">
        <v>24</v>
      </c>
      <c r="D145" s="14" t="s">
        <v>4006</v>
      </c>
      <c r="E145" s="14">
        <v>1</v>
      </c>
      <c r="F145" s="14" t="s">
        <v>422</v>
      </c>
      <c r="G145" s="14">
        <v>5</v>
      </c>
      <c r="H145" s="14"/>
      <c r="I145" s="14"/>
      <c r="J145" s="14"/>
      <c r="K145" s="14"/>
    </row>
    <row r="146" spans="1:11">
      <c r="A146" s="160"/>
      <c r="B146" s="14" t="s">
        <v>432</v>
      </c>
      <c r="C146" s="14">
        <v>31</v>
      </c>
      <c r="D146" s="14" t="s">
        <v>4007</v>
      </c>
      <c r="E146" s="14">
        <v>1</v>
      </c>
      <c r="F146" s="14" t="s">
        <v>422</v>
      </c>
      <c r="G146" s="14">
        <v>5</v>
      </c>
      <c r="H146" s="14"/>
      <c r="I146" s="14"/>
      <c r="J146" s="14"/>
      <c r="K146" s="14"/>
    </row>
    <row r="147" spans="1:11">
      <c r="A147" s="160"/>
      <c r="B147" s="14" t="s">
        <v>433</v>
      </c>
      <c r="C147" s="14">
        <v>38</v>
      </c>
      <c r="D147" s="14" t="s">
        <v>4012</v>
      </c>
      <c r="E147" s="14">
        <v>1</v>
      </c>
      <c r="F147" s="14" t="s">
        <v>422</v>
      </c>
      <c r="G147" s="14">
        <v>5</v>
      </c>
      <c r="H147" s="14"/>
      <c r="I147" s="14"/>
      <c r="J147" s="14"/>
      <c r="K147" s="14"/>
    </row>
    <row r="148" spans="1:11">
      <c r="A148" s="160"/>
      <c r="B148" s="14" t="s">
        <v>434</v>
      </c>
      <c r="C148" s="14">
        <v>45</v>
      </c>
      <c r="D148" s="14" t="s">
        <v>4020</v>
      </c>
      <c r="E148" s="14">
        <v>1</v>
      </c>
      <c r="F148" s="14" t="s">
        <v>422</v>
      </c>
      <c r="G148" s="14">
        <v>5</v>
      </c>
      <c r="H148" s="14"/>
      <c r="I148" s="14"/>
      <c r="J148" s="14"/>
      <c r="K148" s="14"/>
    </row>
    <row r="149" spans="1:11">
      <c r="A149" s="160"/>
      <c r="B149" s="14" t="s">
        <v>435</v>
      </c>
      <c r="C149" s="14">
        <v>52</v>
      </c>
      <c r="D149" s="14" t="s">
        <v>4027</v>
      </c>
      <c r="E149" s="14">
        <v>1</v>
      </c>
      <c r="F149" s="14" t="s">
        <v>422</v>
      </c>
      <c r="G149" s="14">
        <v>5</v>
      </c>
      <c r="H149" s="14"/>
      <c r="I149" s="14"/>
      <c r="J149" s="14"/>
      <c r="K149" s="14"/>
    </row>
    <row r="150" spans="1:11">
      <c r="A150" s="160"/>
      <c r="B150" s="14" t="s">
        <v>436</v>
      </c>
      <c r="C150" s="14">
        <v>55</v>
      </c>
      <c r="D150" s="14" t="s">
        <v>4038</v>
      </c>
      <c r="E150" s="14">
        <v>1</v>
      </c>
      <c r="F150" s="14" t="s">
        <v>422</v>
      </c>
      <c r="G150" s="14">
        <v>5</v>
      </c>
      <c r="H150" s="14"/>
      <c r="I150" s="14"/>
      <c r="J150" s="14"/>
      <c r="K150" s="14"/>
    </row>
    <row r="151" spans="1:11">
      <c r="A151" s="160"/>
      <c r="B151" s="14" t="s">
        <v>437</v>
      </c>
      <c r="C151" s="14">
        <v>58</v>
      </c>
      <c r="D151" s="14" t="s">
        <v>4050</v>
      </c>
      <c r="E151" s="14">
        <v>1</v>
      </c>
      <c r="F151" s="14" t="s">
        <v>422</v>
      </c>
      <c r="G151" s="14">
        <v>5</v>
      </c>
      <c r="H151" s="14"/>
      <c r="I151" s="14"/>
      <c r="J151" s="14"/>
      <c r="K151" s="14"/>
    </row>
    <row r="152" spans="1:11">
      <c r="A152" s="160"/>
      <c r="B152" s="14" t="s">
        <v>438</v>
      </c>
      <c r="C152" s="14">
        <v>61</v>
      </c>
      <c r="D152" s="14" t="s">
        <v>13</v>
      </c>
      <c r="E152" s="14">
        <v>1</v>
      </c>
      <c r="F152" s="14" t="s">
        <v>422</v>
      </c>
      <c r="G152" s="14">
        <v>5</v>
      </c>
      <c r="H152" s="14"/>
      <c r="I152" s="14"/>
      <c r="J152" s="14"/>
      <c r="K152" s="14"/>
    </row>
    <row r="153" spans="1:11">
      <c r="A153" s="160"/>
      <c r="B153" s="14" t="s">
        <v>439</v>
      </c>
      <c r="C153" s="14">
        <v>64</v>
      </c>
      <c r="D153" s="14" t="s">
        <v>17</v>
      </c>
      <c r="E153" s="14">
        <v>1</v>
      </c>
      <c r="F153" s="14" t="s">
        <v>422</v>
      </c>
      <c r="G153" s="14">
        <v>5</v>
      </c>
      <c r="H153" s="14"/>
      <c r="I153" s="14"/>
      <c r="J153" s="14"/>
      <c r="K153" s="14"/>
    </row>
    <row r="154" spans="1:11">
      <c r="A154" s="160"/>
      <c r="B154" s="14" t="s">
        <v>440</v>
      </c>
      <c r="C154" s="14">
        <v>67</v>
      </c>
      <c r="D154" s="14" t="s">
        <v>19</v>
      </c>
      <c r="E154" s="14">
        <v>1</v>
      </c>
      <c r="F154" s="14" t="s">
        <v>422</v>
      </c>
      <c r="G154" s="14">
        <v>5</v>
      </c>
      <c r="H154" s="14"/>
      <c r="I154" s="14"/>
      <c r="J154" s="14"/>
      <c r="K154" s="14"/>
    </row>
    <row r="155" spans="1:11">
      <c r="A155" s="160"/>
      <c r="B155" s="14" t="s">
        <v>441</v>
      </c>
      <c r="C155" s="14">
        <v>70</v>
      </c>
      <c r="D155" s="14" t="s">
        <v>22</v>
      </c>
      <c r="E155" s="14">
        <v>1</v>
      </c>
      <c r="F155" s="14" t="s">
        <v>422</v>
      </c>
      <c r="G155" s="14">
        <v>5</v>
      </c>
      <c r="H155" s="14"/>
      <c r="I155" s="14"/>
      <c r="J155" s="14"/>
      <c r="K155" s="14"/>
    </row>
    <row r="156" spans="1:11">
      <c r="A156" s="160"/>
      <c r="B156" s="14" t="s">
        <v>442</v>
      </c>
      <c r="C156" s="14">
        <v>72</v>
      </c>
      <c r="D156" s="14" t="s">
        <v>24</v>
      </c>
      <c r="E156" s="14">
        <v>1</v>
      </c>
      <c r="F156" s="14" t="s">
        <v>422</v>
      </c>
      <c r="G156" s="14">
        <v>5</v>
      </c>
      <c r="H156" s="14"/>
      <c r="I156" s="14"/>
      <c r="J156" s="14"/>
      <c r="K156" s="14"/>
    </row>
    <row r="157" spans="1:11">
      <c r="A157" s="160"/>
      <c r="B157" s="14" t="s">
        <v>443</v>
      </c>
      <c r="C157" s="14">
        <v>74</v>
      </c>
      <c r="D157" s="14" t="s">
        <v>28</v>
      </c>
      <c r="E157" s="14">
        <v>1</v>
      </c>
      <c r="F157" s="14" t="s">
        <v>422</v>
      </c>
      <c r="G157" s="14">
        <v>5</v>
      </c>
      <c r="H157" s="14"/>
      <c r="I157" s="14"/>
      <c r="J157" s="14"/>
      <c r="K157" s="14"/>
    </row>
    <row r="158" spans="1:11">
      <c r="A158" s="160"/>
      <c r="B158" s="14" t="s">
        <v>444</v>
      </c>
      <c r="C158" s="14">
        <v>76</v>
      </c>
      <c r="D158" s="14" t="s">
        <v>31</v>
      </c>
      <c r="E158" s="14">
        <v>1</v>
      </c>
      <c r="F158" s="14" t="s">
        <v>422</v>
      </c>
      <c r="G158" s="14">
        <v>5</v>
      </c>
      <c r="H158" s="14"/>
      <c r="I158" s="14"/>
      <c r="J158" s="14"/>
      <c r="K158" s="14"/>
    </row>
    <row r="159" spans="1:11">
      <c r="A159" s="160"/>
      <c r="B159" s="14" t="s">
        <v>445</v>
      </c>
      <c r="C159" s="14">
        <v>78</v>
      </c>
      <c r="D159" s="14" t="s">
        <v>35</v>
      </c>
      <c r="E159" s="14">
        <v>1</v>
      </c>
      <c r="F159" s="14" t="s">
        <v>422</v>
      </c>
      <c r="G159" s="14">
        <v>5</v>
      </c>
      <c r="H159" s="14"/>
      <c r="I159" s="14"/>
      <c r="J159" s="14"/>
      <c r="K159" s="14"/>
    </row>
    <row r="160" spans="1:11">
      <c r="A160" s="160"/>
      <c r="B160" s="14" t="s">
        <v>446</v>
      </c>
      <c r="C160" s="14">
        <v>80</v>
      </c>
      <c r="D160" s="14" t="s">
        <v>36</v>
      </c>
      <c r="E160" s="14">
        <v>1</v>
      </c>
      <c r="F160" s="14" t="s">
        <v>422</v>
      </c>
      <c r="G160" s="14">
        <v>5</v>
      </c>
      <c r="H160" s="14"/>
      <c r="I160" s="14"/>
      <c r="J160" s="14"/>
      <c r="K160" s="14"/>
    </row>
    <row r="161" spans="1:11">
      <c r="A161" s="160"/>
      <c r="B161" s="14" t="s">
        <v>447</v>
      </c>
      <c r="C161" s="14">
        <v>85</v>
      </c>
      <c r="D161" s="14" t="s">
        <v>38</v>
      </c>
      <c r="E161" s="14">
        <v>1</v>
      </c>
      <c r="F161" s="14" t="s">
        <v>422</v>
      </c>
      <c r="G161" s="14">
        <v>5</v>
      </c>
      <c r="H161" s="14"/>
      <c r="I161" s="14"/>
      <c r="J161" s="14"/>
      <c r="K161" s="14"/>
    </row>
    <row r="162" spans="1:11">
      <c r="A162" s="160"/>
      <c r="B162" s="14" t="s">
        <v>448</v>
      </c>
      <c r="C162" s="14">
        <v>90</v>
      </c>
      <c r="D162" s="14" t="s">
        <v>40</v>
      </c>
      <c r="E162" s="14">
        <v>1</v>
      </c>
      <c r="F162" s="14" t="s">
        <v>422</v>
      </c>
      <c r="G162" s="14">
        <v>6</v>
      </c>
      <c r="H162" s="14"/>
      <c r="I162" s="14"/>
      <c r="J162" s="14"/>
      <c r="K162" s="14"/>
    </row>
    <row r="163" spans="1:11">
      <c r="A163" s="160"/>
      <c r="B163" s="14" t="s">
        <v>449</v>
      </c>
      <c r="C163" s="14">
        <v>100</v>
      </c>
      <c r="D163" s="14" t="s">
        <v>41</v>
      </c>
      <c r="E163" s="14">
        <v>1</v>
      </c>
      <c r="F163" s="14" t="s">
        <v>422</v>
      </c>
      <c r="G163" s="14">
        <v>7</v>
      </c>
      <c r="H163" s="14"/>
      <c r="I163" s="14"/>
      <c r="J163" s="14"/>
      <c r="K163" s="14"/>
    </row>
    <row r="164" spans="1:11">
      <c r="A164" s="160"/>
      <c r="B164" s="14" t="s">
        <v>575</v>
      </c>
      <c r="C164" s="14">
        <v>103</v>
      </c>
      <c r="D164" s="14" t="s">
        <v>42</v>
      </c>
      <c r="E164" s="14">
        <v>1</v>
      </c>
      <c r="F164" s="14" t="s">
        <v>422</v>
      </c>
      <c r="G164" s="14">
        <v>8</v>
      </c>
      <c r="H164" s="14"/>
      <c r="I164" s="14"/>
      <c r="J164" s="14"/>
      <c r="K164" s="14"/>
    </row>
    <row r="165" spans="1:11">
      <c r="A165" s="160"/>
      <c r="B165" s="14" t="s">
        <v>576</v>
      </c>
      <c r="C165" s="14">
        <v>106</v>
      </c>
      <c r="D165" s="14" t="s">
        <v>43</v>
      </c>
      <c r="E165" s="14">
        <v>1</v>
      </c>
      <c r="F165" s="14" t="s">
        <v>422</v>
      </c>
      <c r="G165" s="14">
        <v>9</v>
      </c>
      <c r="H165" s="14"/>
      <c r="I165" s="14"/>
      <c r="J165" s="14"/>
      <c r="K165" s="14"/>
    </row>
    <row r="166" spans="1:11">
      <c r="A166" s="160"/>
      <c r="B166" s="14" t="s">
        <v>1066</v>
      </c>
      <c r="C166" s="14">
        <v>109</v>
      </c>
      <c r="D166" s="14" t="s">
        <v>44</v>
      </c>
      <c r="E166" s="14">
        <v>1</v>
      </c>
      <c r="F166" s="14" t="s">
        <v>422</v>
      </c>
      <c r="G166" s="14">
        <v>10</v>
      </c>
      <c r="H166" s="14"/>
      <c r="I166" s="14"/>
      <c r="J166" s="14"/>
      <c r="K166" s="14"/>
    </row>
    <row r="167" spans="1:11">
      <c r="A167" s="160"/>
      <c r="B167" s="14" t="s">
        <v>1793</v>
      </c>
      <c r="C167" s="14">
        <v>120</v>
      </c>
      <c r="D167" s="14" t="s">
        <v>1796</v>
      </c>
      <c r="E167" s="14">
        <v>1</v>
      </c>
      <c r="F167" s="14" t="s">
        <v>422</v>
      </c>
      <c r="G167" s="14">
        <v>11</v>
      </c>
      <c r="H167" s="14"/>
      <c r="I167" s="14"/>
      <c r="J167" s="14"/>
      <c r="K167" s="14"/>
    </row>
    <row r="168" spans="1:11">
      <c r="A168" s="160"/>
      <c r="B168" s="14" t="s">
        <v>1794</v>
      </c>
      <c r="C168" s="14">
        <v>130</v>
      </c>
      <c r="D168" s="14" t="s">
        <v>1797</v>
      </c>
      <c r="E168" s="14">
        <v>1</v>
      </c>
      <c r="F168" s="14" t="s">
        <v>422</v>
      </c>
      <c r="G168" s="14">
        <v>12</v>
      </c>
      <c r="H168" s="14"/>
      <c r="I168" s="14"/>
      <c r="J168" s="14"/>
      <c r="K168" s="14"/>
    </row>
    <row r="169" spans="1:11">
      <c r="A169" s="160"/>
      <c r="B169" s="14" t="s">
        <v>1795</v>
      </c>
      <c r="C169" s="14">
        <v>140</v>
      </c>
      <c r="D169" s="14" t="s">
        <v>1798</v>
      </c>
      <c r="E169" s="14">
        <v>1</v>
      </c>
      <c r="F169" s="14" t="s">
        <v>422</v>
      </c>
      <c r="G169" s="14">
        <v>13</v>
      </c>
      <c r="H169" s="14"/>
      <c r="I169" s="14"/>
      <c r="J169" s="14"/>
      <c r="K169" s="14"/>
    </row>
    <row r="170" spans="1:11">
      <c r="A170" s="160"/>
      <c r="B170" s="14" t="s">
        <v>1823</v>
      </c>
      <c r="C170" s="14">
        <v>150</v>
      </c>
      <c r="D170" s="14" t="s">
        <v>1825</v>
      </c>
      <c r="E170" s="14">
        <v>1</v>
      </c>
      <c r="F170" s="14" t="s">
        <v>422</v>
      </c>
      <c r="G170" s="14">
        <v>14</v>
      </c>
      <c r="H170" s="14"/>
      <c r="I170" s="14"/>
      <c r="J170" s="14"/>
      <c r="K170" s="14"/>
    </row>
    <row r="171" spans="1:11">
      <c r="A171" s="160"/>
      <c r="B171" s="14" t="s">
        <v>1824</v>
      </c>
      <c r="C171" s="14">
        <v>160</v>
      </c>
      <c r="D171" s="14" t="s">
        <v>1826</v>
      </c>
      <c r="E171" s="14">
        <v>1</v>
      </c>
      <c r="F171" s="14" t="s">
        <v>422</v>
      </c>
      <c r="G171" s="14">
        <v>15</v>
      </c>
      <c r="H171" s="14"/>
      <c r="I171" s="14"/>
      <c r="J171" s="14"/>
      <c r="K171" s="14"/>
    </row>
  </sheetData>
  <mergeCells count="7">
    <mergeCell ref="A1:K1"/>
    <mergeCell ref="A116:A138"/>
    <mergeCell ref="A140:A171"/>
    <mergeCell ref="A25:A59"/>
    <mergeCell ref="A61:A90"/>
    <mergeCell ref="A92:A114"/>
    <mergeCell ref="A2:A2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7" sqref="A187:IV187"/>
    </sheetView>
  </sheetViews>
  <sheetFormatPr defaultRowHeight="14.25"/>
  <cols>
    <col min="1" max="1" width="4.25" style="20" customWidth="1"/>
    <col min="2" max="2" width="11.375" style="20" bestFit="1" customWidth="1"/>
    <col min="3" max="3" width="4.125" style="20" customWidth="1"/>
    <col min="4" max="4" width="9.625" style="20" bestFit="1" customWidth="1"/>
    <col min="5" max="5" width="3.25" style="20" bestFit="1" customWidth="1"/>
    <col min="6" max="6" width="9.625" style="20" bestFit="1" customWidth="1"/>
    <col min="7" max="7" width="3.25" style="20" customWidth="1"/>
    <col min="8" max="8" width="9.625" style="20" customWidth="1"/>
    <col min="9" max="9" width="3.25" style="20" bestFit="1" customWidth="1"/>
    <col min="10" max="10" width="3.625" style="20" customWidth="1"/>
    <col min="11" max="11" width="4.25" style="20" customWidth="1"/>
    <col min="12" max="12" width="11.375" style="20" bestFit="1" customWidth="1"/>
    <col min="13" max="13" width="4.125" style="20" bestFit="1" customWidth="1"/>
    <col min="14" max="14" width="9.625" style="20" customWidth="1"/>
    <col min="15" max="15" width="3.25" style="20" bestFit="1" customWidth="1"/>
    <col min="16" max="16" width="9.625" style="20" bestFit="1" customWidth="1"/>
    <col min="17" max="17" width="3.25" style="20" bestFit="1" customWidth="1"/>
    <col min="18" max="18" width="9.625" style="20" bestFit="1" customWidth="1"/>
    <col min="19" max="19" width="3.25" style="20" customWidth="1"/>
    <col min="20" max="20" width="5.75" style="20" bestFit="1" customWidth="1"/>
    <col min="21" max="16384" width="9" style="20"/>
  </cols>
  <sheetData>
    <row r="1" spans="1:19" ht="33">
      <c r="A1" s="153" t="s">
        <v>198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</row>
    <row r="2" spans="1:19" ht="14.25" customHeight="1">
      <c r="A2" s="163" t="s">
        <v>1108</v>
      </c>
      <c r="B2" s="2" t="s">
        <v>1067</v>
      </c>
      <c r="C2" s="2">
        <v>1</v>
      </c>
      <c r="D2" s="2" t="s">
        <v>406</v>
      </c>
      <c r="E2" s="2">
        <v>2</v>
      </c>
      <c r="F2" s="2" t="s">
        <v>120</v>
      </c>
      <c r="G2" s="2">
        <v>4</v>
      </c>
      <c r="H2" s="2"/>
      <c r="I2" s="2"/>
      <c r="K2" s="167" t="s">
        <v>1286</v>
      </c>
      <c r="L2" s="2" t="s">
        <v>1245</v>
      </c>
      <c r="M2" s="2">
        <v>1</v>
      </c>
      <c r="N2" s="2" t="s">
        <v>118</v>
      </c>
      <c r="O2" s="2">
        <v>1</v>
      </c>
      <c r="P2" s="2" t="s">
        <v>406</v>
      </c>
      <c r="Q2" s="2">
        <v>1</v>
      </c>
      <c r="R2" s="2"/>
      <c r="S2" s="2"/>
    </row>
    <row r="3" spans="1:19">
      <c r="A3" s="164"/>
      <c r="B3" s="2" t="s">
        <v>1068</v>
      </c>
      <c r="C3" s="2">
        <v>5</v>
      </c>
      <c r="D3" s="2" t="s">
        <v>406</v>
      </c>
      <c r="E3" s="2">
        <v>3</v>
      </c>
      <c r="F3" s="2" t="s">
        <v>120</v>
      </c>
      <c r="G3" s="2">
        <v>4</v>
      </c>
      <c r="H3" s="2"/>
      <c r="I3" s="2"/>
      <c r="K3" s="167"/>
      <c r="L3" s="2" t="s">
        <v>1246</v>
      </c>
      <c r="M3" s="2">
        <v>5</v>
      </c>
      <c r="N3" s="2" t="s">
        <v>119</v>
      </c>
      <c r="O3" s="2">
        <v>2</v>
      </c>
      <c r="P3" s="2" t="s">
        <v>406</v>
      </c>
      <c r="Q3" s="2">
        <v>2</v>
      </c>
      <c r="R3" s="2"/>
      <c r="S3" s="2"/>
    </row>
    <row r="4" spans="1:19">
      <c r="A4" s="164"/>
      <c r="B4" s="2" t="s">
        <v>1069</v>
      </c>
      <c r="C4" s="2">
        <v>10</v>
      </c>
      <c r="D4" s="2" t="s">
        <v>406</v>
      </c>
      <c r="E4" s="2">
        <v>4</v>
      </c>
      <c r="F4" s="2" t="s">
        <v>120</v>
      </c>
      <c r="G4" s="2">
        <v>4</v>
      </c>
      <c r="H4" s="2"/>
      <c r="I4" s="2"/>
      <c r="K4" s="167"/>
      <c r="L4" s="2" t="s">
        <v>1247</v>
      </c>
      <c r="M4" s="2">
        <v>10</v>
      </c>
      <c r="N4" s="2" t="s">
        <v>119</v>
      </c>
      <c r="O4" s="2">
        <v>4</v>
      </c>
      <c r="P4" s="2" t="s">
        <v>407</v>
      </c>
      <c r="Q4" s="2">
        <v>2</v>
      </c>
      <c r="R4" s="2"/>
      <c r="S4" s="2"/>
    </row>
    <row r="5" spans="1:19">
      <c r="A5" s="164"/>
      <c r="B5" s="2" t="s">
        <v>1070</v>
      </c>
      <c r="C5" s="2">
        <v>15</v>
      </c>
      <c r="D5" s="2" t="s">
        <v>407</v>
      </c>
      <c r="E5" s="2">
        <v>3</v>
      </c>
      <c r="F5" s="2" t="s">
        <v>121</v>
      </c>
      <c r="G5" s="2">
        <v>4</v>
      </c>
      <c r="H5" s="2"/>
      <c r="I5" s="2"/>
      <c r="K5" s="167"/>
      <c r="L5" s="2" t="s">
        <v>1248</v>
      </c>
      <c r="M5" s="2">
        <v>15</v>
      </c>
      <c r="N5" s="2" t="s">
        <v>120</v>
      </c>
      <c r="O5" s="2">
        <v>4</v>
      </c>
      <c r="P5" s="2" t="s">
        <v>407</v>
      </c>
      <c r="Q5" s="2">
        <v>4</v>
      </c>
      <c r="R5" s="2"/>
      <c r="S5" s="2"/>
    </row>
    <row r="6" spans="1:19">
      <c r="A6" s="164"/>
      <c r="B6" s="2" t="s">
        <v>1071</v>
      </c>
      <c r="C6" s="2">
        <v>20</v>
      </c>
      <c r="D6" s="2" t="s">
        <v>407</v>
      </c>
      <c r="E6" s="2">
        <v>4</v>
      </c>
      <c r="F6" s="2" t="s">
        <v>121</v>
      </c>
      <c r="G6" s="2">
        <v>4</v>
      </c>
      <c r="H6" s="2"/>
      <c r="I6" s="2"/>
      <c r="K6" s="167"/>
      <c r="L6" s="2" t="s">
        <v>1249</v>
      </c>
      <c r="M6" s="2">
        <v>20</v>
      </c>
      <c r="N6" s="2" t="s">
        <v>120</v>
      </c>
      <c r="O6" s="2">
        <v>4</v>
      </c>
      <c r="P6" s="2" t="s">
        <v>408</v>
      </c>
      <c r="Q6" s="2">
        <v>4</v>
      </c>
      <c r="R6" s="2"/>
      <c r="S6" s="2"/>
    </row>
    <row r="7" spans="1:19">
      <c r="A7" s="164"/>
      <c r="B7" s="2" t="s">
        <v>1072</v>
      </c>
      <c r="C7" s="2">
        <v>25</v>
      </c>
      <c r="D7" s="2" t="s">
        <v>408</v>
      </c>
      <c r="E7" s="2">
        <v>4</v>
      </c>
      <c r="F7" s="2" t="s">
        <v>123</v>
      </c>
      <c r="G7" s="2">
        <v>4</v>
      </c>
      <c r="H7" s="2"/>
      <c r="I7" s="2"/>
      <c r="K7" s="167"/>
      <c r="L7" s="2" t="s">
        <v>1250</v>
      </c>
      <c r="M7" s="2">
        <v>25</v>
      </c>
      <c r="N7" s="2" t="s">
        <v>121</v>
      </c>
      <c r="O7" s="2">
        <v>5</v>
      </c>
      <c r="P7" s="2" t="s">
        <v>408</v>
      </c>
      <c r="Q7" s="2">
        <v>5</v>
      </c>
      <c r="R7" s="2"/>
      <c r="S7" s="2"/>
    </row>
    <row r="8" spans="1:19">
      <c r="A8" s="164"/>
      <c r="B8" s="2" t="s">
        <v>1073</v>
      </c>
      <c r="C8" s="2">
        <v>30</v>
      </c>
      <c r="D8" s="2" t="s">
        <v>408</v>
      </c>
      <c r="E8" s="2">
        <v>4</v>
      </c>
      <c r="F8" s="2" t="s">
        <v>409</v>
      </c>
      <c r="G8" s="2">
        <v>1</v>
      </c>
      <c r="H8" s="2" t="s">
        <v>123</v>
      </c>
      <c r="I8" s="2">
        <v>4</v>
      </c>
      <c r="K8" s="167"/>
      <c r="L8" s="2" t="s">
        <v>1251</v>
      </c>
      <c r="M8" s="2">
        <v>30</v>
      </c>
      <c r="N8" s="2" t="s">
        <v>121</v>
      </c>
      <c r="O8" s="2">
        <v>5</v>
      </c>
      <c r="P8" s="2" t="s">
        <v>409</v>
      </c>
      <c r="Q8" s="2">
        <v>5</v>
      </c>
      <c r="R8" s="2"/>
      <c r="S8" s="2"/>
    </row>
    <row r="9" spans="1:19">
      <c r="A9" s="164"/>
      <c r="B9" s="2" t="s">
        <v>1074</v>
      </c>
      <c r="C9" s="2">
        <v>35</v>
      </c>
      <c r="D9" s="2" t="s">
        <v>408</v>
      </c>
      <c r="E9" s="2">
        <v>2</v>
      </c>
      <c r="F9" s="2" t="s">
        <v>409</v>
      </c>
      <c r="G9" s="2">
        <v>4</v>
      </c>
      <c r="H9" s="2" t="s">
        <v>123</v>
      </c>
      <c r="I9" s="2">
        <v>4</v>
      </c>
      <c r="K9" s="167"/>
      <c r="L9" s="2" t="s">
        <v>1252</v>
      </c>
      <c r="M9" s="2">
        <v>35</v>
      </c>
      <c r="N9" s="2" t="s">
        <v>123</v>
      </c>
      <c r="O9" s="2">
        <v>5</v>
      </c>
      <c r="P9" s="2" t="s">
        <v>409</v>
      </c>
      <c r="Q9" s="2">
        <v>5</v>
      </c>
      <c r="R9" s="2"/>
      <c r="S9" s="2"/>
    </row>
    <row r="10" spans="1:19">
      <c r="A10" s="164"/>
      <c r="B10" s="2" t="s">
        <v>1075</v>
      </c>
      <c r="C10" s="2">
        <v>40</v>
      </c>
      <c r="D10" s="2" t="s">
        <v>408</v>
      </c>
      <c r="E10" s="2">
        <v>3</v>
      </c>
      <c r="F10" s="2" t="s">
        <v>410</v>
      </c>
      <c r="G10" s="2">
        <v>2</v>
      </c>
      <c r="H10" s="2" t="s">
        <v>124</v>
      </c>
      <c r="I10" s="2">
        <v>4</v>
      </c>
      <c r="K10" s="167"/>
      <c r="L10" s="2" t="s">
        <v>1253</v>
      </c>
      <c r="M10" s="2">
        <v>40</v>
      </c>
      <c r="N10" s="2" t="s">
        <v>123</v>
      </c>
      <c r="O10" s="2">
        <v>5</v>
      </c>
      <c r="P10" s="2" t="s">
        <v>410</v>
      </c>
      <c r="Q10" s="2">
        <v>5</v>
      </c>
      <c r="R10" s="2"/>
      <c r="S10" s="2"/>
    </row>
    <row r="11" spans="1:19">
      <c r="A11" s="164"/>
      <c r="B11" s="2" t="s">
        <v>1076</v>
      </c>
      <c r="C11" s="2">
        <v>45</v>
      </c>
      <c r="D11" s="2" t="s">
        <v>413</v>
      </c>
      <c r="E11" s="2">
        <v>2</v>
      </c>
      <c r="F11" s="2" t="s">
        <v>406</v>
      </c>
      <c r="G11" s="2">
        <v>1</v>
      </c>
      <c r="H11" s="2" t="s">
        <v>124</v>
      </c>
      <c r="I11" s="2">
        <v>4</v>
      </c>
      <c r="K11" s="167"/>
      <c r="L11" s="2" t="s">
        <v>1254</v>
      </c>
      <c r="M11" s="2">
        <v>45</v>
      </c>
      <c r="N11" s="2" t="s">
        <v>124</v>
      </c>
      <c r="O11" s="2">
        <v>5</v>
      </c>
      <c r="P11" s="2" t="s">
        <v>410</v>
      </c>
      <c r="Q11" s="2">
        <v>5</v>
      </c>
      <c r="R11" s="2"/>
      <c r="S11" s="2"/>
    </row>
    <row r="12" spans="1:19">
      <c r="A12" s="164"/>
      <c r="B12" s="2" t="s">
        <v>1077</v>
      </c>
      <c r="C12" s="2">
        <v>50</v>
      </c>
      <c r="D12" s="2" t="s">
        <v>413</v>
      </c>
      <c r="E12" s="2">
        <v>3</v>
      </c>
      <c r="F12" s="2" t="s">
        <v>407</v>
      </c>
      <c r="G12" s="2">
        <v>1</v>
      </c>
      <c r="H12" s="2" t="s">
        <v>126</v>
      </c>
      <c r="I12" s="2">
        <v>4</v>
      </c>
      <c r="K12" s="167"/>
      <c r="L12" s="2" t="s">
        <v>1255</v>
      </c>
      <c r="M12" s="2">
        <v>50</v>
      </c>
      <c r="N12" s="2" t="s">
        <v>124</v>
      </c>
      <c r="O12" s="2">
        <v>6</v>
      </c>
      <c r="P12" s="2" t="s">
        <v>411</v>
      </c>
      <c r="Q12" s="2">
        <v>5</v>
      </c>
      <c r="R12" s="2"/>
      <c r="S12" s="2"/>
    </row>
    <row r="13" spans="1:19">
      <c r="A13" s="164"/>
      <c r="B13" s="2" t="s">
        <v>1078</v>
      </c>
      <c r="C13" s="2">
        <v>55</v>
      </c>
      <c r="D13" s="2" t="s">
        <v>413</v>
      </c>
      <c r="E13" s="2">
        <v>4</v>
      </c>
      <c r="F13" s="2" t="s">
        <v>409</v>
      </c>
      <c r="G13" s="2">
        <v>3</v>
      </c>
      <c r="H13" s="2" t="s">
        <v>126</v>
      </c>
      <c r="I13" s="2">
        <v>4</v>
      </c>
      <c r="K13" s="167"/>
      <c r="L13" s="2" t="s">
        <v>1256</v>
      </c>
      <c r="M13" s="2">
        <v>55</v>
      </c>
      <c r="N13" s="2" t="s">
        <v>126</v>
      </c>
      <c r="O13" s="2">
        <v>4</v>
      </c>
      <c r="P13" s="2" t="s">
        <v>412</v>
      </c>
      <c r="Q13" s="2">
        <v>5</v>
      </c>
      <c r="R13" s="2"/>
      <c r="S13" s="2"/>
    </row>
    <row r="14" spans="1:19">
      <c r="A14" s="164"/>
      <c r="B14" s="2" t="s">
        <v>1079</v>
      </c>
      <c r="C14" s="2">
        <v>60</v>
      </c>
      <c r="D14" s="2" t="s">
        <v>413</v>
      </c>
      <c r="E14" s="2">
        <v>4</v>
      </c>
      <c r="F14" s="2" t="s">
        <v>410</v>
      </c>
      <c r="G14" s="2">
        <v>2</v>
      </c>
      <c r="H14" s="2" t="s">
        <v>129</v>
      </c>
      <c r="I14" s="2">
        <v>4</v>
      </c>
      <c r="K14" s="167"/>
      <c r="L14" s="2" t="s">
        <v>1257</v>
      </c>
      <c r="M14" s="2">
        <v>60</v>
      </c>
      <c r="N14" s="2" t="s">
        <v>126</v>
      </c>
      <c r="O14" s="2">
        <v>5</v>
      </c>
      <c r="P14" s="2" t="s">
        <v>413</v>
      </c>
      <c r="Q14" s="2">
        <v>4</v>
      </c>
      <c r="R14" s="2"/>
      <c r="S14" s="2"/>
    </row>
    <row r="15" spans="1:19">
      <c r="A15" s="164"/>
      <c r="B15" s="2" t="s">
        <v>1080</v>
      </c>
      <c r="C15" s="2">
        <v>65</v>
      </c>
      <c r="D15" s="2" t="s">
        <v>414</v>
      </c>
      <c r="E15" s="2">
        <v>3</v>
      </c>
      <c r="F15" s="2" t="s">
        <v>413</v>
      </c>
      <c r="G15" s="2">
        <v>3</v>
      </c>
      <c r="H15" s="2" t="s">
        <v>129</v>
      </c>
      <c r="I15" s="2">
        <v>4</v>
      </c>
      <c r="K15" s="167"/>
      <c r="L15" s="2" t="s">
        <v>1258</v>
      </c>
      <c r="M15" s="2">
        <v>65</v>
      </c>
      <c r="N15" s="2" t="s">
        <v>129</v>
      </c>
      <c r="O15" s="2">
        <v>5</v>
      </c>
      <c r="P15" s="2" t="s">
        <v>414</v>
      </c>
      <c r="Q15" s="2">
        <v>4</v>
      </c>
      <c r="R15" s="2"/>
      <c r="S15" s="2"/>
    </row>
    <row r="16" spans="1:19">
      <c r="A16" s="164"/>
      <c r="B16" s="2" t="s">
        <v>1081</v>
      </c>
      <c r="C16" s="2">
        <v>70</v>
      </c>
      <c r="D16" s="2" t="s">
        <v>415</v>
      </c>
      <c r="E16" s="2">
        <v>3</v>
      </c>
      <c r="F16" s="2" t="s">
        <v>413</v>
      </c>
      <c r="G16" s="2">
        <v>2</v>
      </c>
      <c r="H16" s="2" t="s">
        <v>130</v>
      </c>
      <c r="I16" s="2">
        <v>4</v>
      </c>
      <c r="K16" s="167"/>
      <c r="L16" s="2" t="s">
        <v>1259</v>
      </c>
      <c r="M16" s="2">
        <v>70</v>
      </c>
      <c r="N16" s="2" t="s">
        <v>129</v>
      </c>
      <c r="O16" s="2">
        <v>6</v>
      </c>
      <c r="P16" s="2" t="s">
        <v>415</v>
      </c>
      <c r="Q16" s="2">
        <v>3</v>
      </c>
      <c r="R16" s="2"/>
      <c r="S16" s="2"/>
    </row>
    <row r="17" spans="1:20">
      <c r="A17" s="164"/>
      <c r="B17" s="2" t="s">
        <v>1082</v>
      </c>
      <c r="C17" s="2">
        <v>75</v>
      </c>
      <c r="D17" s="2" t="s">
        <v>416</v>
      </c>
      <c r="E17" s="2">
        <v>3</v>
      </c>
      <c r="F17" s="2" t="s">
        <v>413</v>
      </c>
      <c r="G17" s="2">
        <v>2</v>
      </c>
      <c r="H17" s="2" t="s">
        <v>130</v>
      </c>
      <c r="I17" s="2">
        <v>4</v>
      </c>
      <c r="K17" s="167"/>
      <c r="L17" s="2" t="s">
        <v>1260</v>
      </c>
      <c r="M17" s="2">
        <v>75</v>
      </c>
      <c r="N17" s="2" t="s">
        <v>130</v>
      </c>
      <c r="O17" s="2">
        <v>5</v>
      </c>
      <c r="P17" s="2" t="s">
        <v>416</v>
      </c>
      <c r="Q17" s="2">
        <v>3</v>
      </c>
      <c r="R17" s="2"/>
      <c r="S17" s="2"/>
    </row>
    <row r="18" spans="1:20">
      <c r="A18" s="164"/>
      <c r="B18" s="2" t="s">
        <v>1083</v>
      </c>
      <c r="C18" s="2">
        <v>80</v>
      </c>
      <c r="D18" s="2" t="s">
        <v>417</v>
      </c>
      <c r="E18" s="2">
        <v>3</v>
      </c>
      <c r="F18" s="2" t="s">
        <v>413</v>
      </c>
      <c r="G18" s="2">
        <v>2</v>
      </c>
      <c r="H18" s="2" t="s">
        <v>130</v>
      </c>
      <c r="I18" s="2">
        <v>4</v>
      </c>
      <c r="K18" s="167"/>
      <c r="L18" s="2" t="s">
        <v>1261</v>
      </c>
      <c r="M18" s="2">
        <v>80</v>
      </c>
      <c r="N18" s="2" t="s">
        <v>130</v>
      </c>
      <c r="O18" s="2">
        <v>6</v>
      </c>
      <c r="P18" s="2" t="s">
        <v>417</v>
      </c>
      <c r="Q18" s="2">
        <v>3</v>
      </c>
      <c r="R18" s="2">
        <v>38280</v>
      </c>
      <c r="S18" s="2"/>
      <c r="T18" s="20" t="s">
        <v>1854</v>
      </c>
    </row>
    <row r="19" spans="1:20">
      <c r="A19" s="164"/>
      <c r="B19" s="162" t="s">
        <v>1084</v>
      </c>
      <c r="C19" s="162"/>
      <c r="D19" s="162"/>
      <c r="E19" s="162"/>
      <c r="F19" s="162"/>
      <c r="G19" s="162"/>
      <c r="H19" s="162"/>
      <c r="I19" s="162"/>
      <c r="K19" s="167"/>
      <c r="L19" s="162" t="s">
        <v>1262</v>
      </c>
      <c r="M19" s="162"/>
      <c r="N19" s="162"/>
      <c r="O19" s="162"/>
      <c r="P19" s="162"/>
      <c r="Q19" s="162"/>
      <c r="R19" s="162"/>
      <c r="S19" s="162"/>
    </row>
    <row r="20" spans="1:20">
      <c r="A20" s="164"/>
      <c r="B20" s="2" t="s">
        <v>1085</v>
      </c>
      <c r="C20" s="2">
        <v>32</v>
      </c>
      <c r="D20" s="2" t="s">
        <v>408</v>
      </c>
      <c r="E20" s="2">
        <v>2</v>
      </c>
      <c r="F20" s="2" t="s">
        <v>429</v>
      </c>
      <c r="G20" s="2">
        <v>1</v>
      </c>
      <c r="H20" s="2" t="s">
        <v>121</v>
      </c>
      <c r="I20" s="2">
        <v>4</v>
      </c>
      <c r="K20" s="167"/>
      <c r="L20" s="2" t="s">
        <v>1263</v>
      </c>
      <c r="M20" s="2">
        <v>32</v>
      </c>
      <c r="N20" s="2" t="s">
        <v>118</v>
      </c>
      <c r="O20" s="2">
        <v>1</v>
      </c>
      <c r="P20" s="2" t="s">
        <v>406</v>
      </c>
      <c r="Q20" s="2">
        <v>1</v>
      </c>
      <c r="R20" s="2" t="s">
        <v>429</v>
      </c>
      <c r="S20" s="2">
        <v>1</v>
      </c>
    </row>
    <row r="21" spans="1:20">
      <c r="A21" s="164"/>
      <c r="B21" s="2" t="s">
        <v>1086</v>
      </c>
      <c r="C21" s="2">
        <v>38</v>
      </c>
      <c r="D21" s="2" t="s">
        <v>408</v>
      </c>
      <c r="E21" s="2">
        <v>3</v>
      </c>
      <c r="F21" s="2" t="s">
        <v>430</v>
      </c>
      <c r="G21" s="2">
        <v>1</v>
      </c>
      <c r="H21" s="2" t="s">
        <v>121</v>
      </c>
      <c r="I21" s="2">
        <v>4</v>
      </c>
      <c r="K21" s="167"/>
      <c r="L21" s="2" t="s">
        <v>1264</v>
      </c>
      <c r="M21" s="2">
        <v>38</v>
      </c>
      <c r="N21" s="2" t="s">
        <v>118</v>
      </c>
      <c r="O21" s="2">
        <v>4</v>
      </c>
      <c r="P21" s="2" t="s">
        <v>406</v>
      </c>
      <c r="Q21" s="2">
        <v>2</v>
      </c>
      <c r="R21" s="2" t="s">
        <v>430</v>
      </c>
      <c r="S21" s="2">
        <v>1</v>
      </c>
    </row>
    <row r="22" spans="1:20">
      <c r="A22" s="164"/>
      <c r="B22" s="2" t="s">
        <v>1087</v>
      </c>
      <c r="C22" s="2">
        <v>44</v>
      </c>
      <c r="D22" s="2" t="s">
        <v>413</v>
      </c>
      <c r="E22" s="2">
        <v>2</v>
      </c>
      <c r="F22" s="2" t="s">
        <v>431</v>
      </c>
      <c r="G22" s="2">
        <v>1</v>
      </c>
      <c r="H22" s="2" t="s">
        <v>123</v>
      </c>
      <c r="I22" s="2">
        <v>4</v>
      </c>
      <c r="K22" s="167"/>
      <c r="L22" s="2" t="s">
        <v>1265</v>
      </c>
      <c r="M22" s="2">
        <v>44</v>
      </c>
      <c r="N22" s="2" t="s">
        <v>119</v>
      </c>
      <c r="O22" s="2">
        <v>4</v>
      </c>
      <c r="P22" s="2" t="s">
        <v>407</v>
      </c>
      <c r="Q22" s="2">
        <v>4</v>
      </c>
      <c r="R22" s="2" t="s">
        <v>431</v>
      </c>
      <c r="S22" s="2">
        <v>1</v>
      </c>
    </row>
    <row r="23" spans="1:20">
      <c r="A23" s="164"/>
      <c r="B23" s="2" t="s">
        <v>1088</v>
      </c>
      <c r="C23" s="2">
        <v>50</v>
      </c>
      <c r="D23" s="2" t="s">
        <v>413</v>
      </c>
      <c r="E23" s="2">
        <v>3</v>
      </c>
      <c r="F23" s="2" t="s">
        <v>432</v>
      </c>
      <c r="G23" s="2">
        <v>1</v>
      </c>
      <c r="H23" s="2" t="s">
        <v>123</v>
      </c>
      <c r="I23" s="2">
        <v>4</v>
      </c>
      <c r="K23" s="167"/>
      <c r="L23" s="2" t="s">
        <v>1266</v>
      </c>
      <c r="M23" s="2">
        <v>50</v>
      </c>
      <c r="N23" s="2" t="s">
        <v>120</v>
      </c>
      <c r="O23" s="2">
        <v>4</v>
      </c>
      <c r="P23" s="2" t="s">
        <v>408</v>
      </c>
      <c r="Q23" s="2">
        <v>4</v>
      </c>
      <c r="R23" s="2" t="s">
        <v>433</v>
      </c>
      <c r="S23" s="2">
        <v>2</v>
      </c>
    </row>
    <row r="24" spans="1:20">
      <c r="A24" s="164"/>
      <c r="B24" s="2" t="s">
        <v>1089</v>
      </c>
      <c r="C24" s="2">
        <v>56</v>
      </c>
      <c r="D24" s="2" t="s">
        <v>413</v>
      </c>
      <c r="E24" s="2">
        <v>3</v>
      </c>
      <c r="F24" s="2" t="s">
        <v>433</v>
      </c>
      <c r="G24" s="2">
        <v>1</v>
      </c>
      <c r="H24" s="2" t="s">
        <v>124</v>
      </c>
      <c r="I24" s="2">
        <v>4</v>
      </c>
      <c r="K24" s="167"/>
      <c r="L24" s="2" t="s">
        <v>1267</v>
      </c>
      <c r="M24" s="2">
        <v>50</v>
      </c>
      <c r="N24" s="2" t="s">
        <v>119</v>
      </c>
      <c r="O24" s="2">
        <v>4</v>
      </c>
      <c r="P24" s="2" t="s">
        <v>407</v>
      </c>
      <c r="Q24" s="2">
        <v>4</v>
      </c>
      <c r="R24" s="2" t="s">
        <v>432</v>
      </c>
      <c r="S24" s="2">
        <v>2</v>
      </c>
    </row>
    <row r="25" spans="1:20">
      <c r="A25" s="164"/>
      <c r="B25" s="2" t="s">
        <v>1090</v>
      </c>
      <c r="C25" s="2">
        <v>60</v>
      </c>
      <c r="D25" s="2" t="s">
        <v>413</v>
      </c>
      <c r="E25" s="2">
        <v>3</v>
      </c>
      <c r="F25" s="2" t="s">
        <v>434</v>
      </c>
      <c r="G25" s="2">
        <v>1</v>
      </c>
      <c r="H25" s="2" t="s">
        <v>124</v>
      </c>
      <c r="I25" s="2">
        <v>4</v>
      </c>
      <c r="K25" s="167"/>
      <c r="L25" s="2" t="s">
        <v>1268</v>
      </c>
      <c r="M25" s="2">
        <v>52</v>
      </c>
      <c r="N25" s="2" t="s">
        <v>120</v>
      </c>
      <c r="O25" s="2">
        <v>4</v>
      </c>
      <c r="P25" s="2" t="s">
        <v>408</v>
      </c>
      <c r="Q25" s="2">
        <v>3</v>
      </c>
      <c r="R25" s="2" t="s">
        <v>434</v>
      </c>
      <c r="S25" s="2">
        <v>2</v>
      </c>
    </row>
    <row r="26" spans="1:20">
      <c r="A26" s="164"/>
      <c r="B26" s="2" t="s">
        <v>1091</v>
      </c>
      <c r="C26" s="2">
        <v>66</v>
      </c>
      <c r="D26" s="2" t="s">
        <v>414</v>
      </c>
      <c r="E26" s="2">
        <v>2</v>
      </c>
      <c r="F26" s="2" t="s">
        <v>442</v>
      </c>
      <c r="G26" s="2">
        <v>1</v>
      </c>
      <c r="H26" s="2" t="s">
        <v>126</v>
      </c>
      <c r="I26" s="2">
        <v>4</v>
      </c>
      <c r="K26" s="167"/>
      <c r="L26" s="2" t="s">
        <v>1269</v>
      </c>
      <c r="M26" s="2">
        <v>54</v>
      </c>
      <c r="N26" s="2" t="s">
        <v>121</v>
      </c>
      <c r="O26" s="2">
        <v>7</v>
      </c>
      <c r="P26" s="2" t="s">
        <v>409</v>
      </c>
      <c r="Q26" s="2">
        <v>5</v>
      </c>
      <c r="R26" s="2" t="s">
        <v>435</v>
      </c>
      <c r="S26" s="2">
        <v>2</v>
      </c>
    </row>
    <row r="27" spans="1:20">
      <c r="A27" s="164"/>
      <c r="B27" s="2" t="s">
        <v>1092</v>
      </c>
      <c r="C27" s="2">
        <v>70</v>
      </c>
      <c r="D27" s="2" t="s">
        <v>414</v>
      </c>
      <c r="E27" s="2">
        <v>3</v>
      </c>
      <c r="F27" s="2" t="s">
        <v>443</v>
      </c>
      <c r="G27" s="2">
        <v>1</v>
      </c>
      <c r="H27" s="2" t="s">
        <v>126</v>
      </c>
      <c r="I27" s="2">
        <v>4</v>
      </c>
      <c r="K27" s="167"/>
      <c r="L27" s="2" t="s">
        <v>1270</v>
      </c>
      <c r="M27" s="2">
        <v>56</v>
      </c>
      <c r="N27" s="2" t="s">
        <v>121</v>
      </c>
      <c r="O27" s="2">
        <v>7</v>
      </c>
      <c r="P27" s="2" t="s">
        <v>409</v>
      </c>
      <c r="Q27" s="2">
        <v>5</v>
      </c>
      <c r="R27" s="2" t="s">
        <v>436</v>
      </c>
      <c r="S27" s="2">
        <v>2</v>
      </c>
    </row>
    <row r="28" spans="1:20">
      <c r="A28" s="164"/>
      <c r="B28" s="2" t="s">
        <v>1093</v>
      </c>
      <c r="C28" s="2">
        <v>74</v>
      </c>
      <c r="D28" s="2" t="s">
        <v>415</v>
      </c>
      <c r="E28" s="2">
        <v>3</v>
      </c>
      <c r="F28" s="2" t="s">
        <v>444</v>
      </c>
      <c r="G28" s="2">
        <v>1</v>
      </c>
      <c r="H28" s="2" t="s">
        <v>129</v>
      </c>
      <c r="I28" s="2">
        <v>4</v>
      </c>
      <c r="K28" s="167"/>
      <c r="L28" s="2" t="s">
        <v>1271</v>
      </c>
      <c r="M28" s="2">
        <v>56</v>
      </c>
      <c r="N28" s="2" t="s">
        <v>123</v>
      </c>
      <c r="O28" s="2">
        <v>7</v>
      </c>
      <c r="P28" s="2" t="s">
        <v>410</v>
      </c>
      <c r="Q28" s="2">
        <v>4</v>
      </c>
      <c r="R28" s="2" t="s">
        <v>437</v>
      </c>
      <c r="S28" s="2">
        <v>2</v>
      </c>
    </row>
    <row r="29" spans="1:20">
      <c r="A29" s="164"/>
      <c r="B29" s="2" t="s">
        <v>1094</v>
      </c>
      <c r="C29" s="2">
        <v>78</v>
      </c>
      <c r="D29" s="2" t="s">
        <v>415</v>
      </c>
      <c r="E29" s="2">
        <v>3</v>
      </c>
      <c r="F29" s="2" t="s">
        <v>445</v>
      </c>
      <c r="G29" s="2">
        <v>1</v>
      </c>
      <c r="H29" s="2" t="s">
        <v>130</v>
      </c>
      <c r="I29" s="2">
        <v>4</v>
      </c>
      <c r="K29" s="167"/>
      <c r="L29" s="2" t="s">
        <v>1272</v>
      </c>
      <c r="M29" s="2">
        <v>58</v>
      </c>
      <c r="N29" s="2" t="s">
        <v>123</v>
      </c>
      <c r="O29" s="2">
        <v>7</v>
      </c>
      <c r="P29" s="2" t="s">
        <v>410</v>
      </c>
      <c r="Q29" s="2">
        <v>4</v>
      </c>
      <c r="R29" s="2" t="s">
        <v>438</v>
      </c>
      <c r="S29" s="2">
        <v>2</v>
      </c>
    </row>
    <row r="30" spans="1:20">
      <c r="A30" s="164"/>
      <c r="B30" s="2" t="s">
        <v>1095</v>
      </c>
      <c r="C30" s="2">
        <v>84</v>
      </c>
      <c r="D30" s="2" t="s">
        <v>416</v>
      </c>
      <c r="E30" s="2">
        <v>3</v>
      </c>
      <c r="F30" s="2" t="s">
        <v>446</v>
      </c>
      <c r="G30" s="2">
        <v>1</v>
      </c>
      <c r="H30" s="2" t="s">
        <v>130</v>
      </c>
      <c r="I30" s="2">
        <v>4</v>
      </c>
      <c r="K30" s="167"/>
      <c r="L30" s="2" t="s">
        <v>1273</v>
      </c>
      <c r="M30" s="2">
        <v>60</v>
      </c>
      <c r="N30" s="2" t="s">
        <v>124</v>
      </c>
      <c r="O30" s="2">
        <v>6</v>
      </c>
      <c r="P30" s="2" t="s">
        <v>411</v>
      </c>
      <c r="Q30" s="2">
        <v>4</v>
      </c>
      <c r="R30" s="2" t="s">
        <v>439</v>
      </c>
      <c r="S30" s="2">
        <v>2</v>
      </c>
    </row>
    <row r="31" spans="1:20">
      <c r="A31" s="164"/>
      <c r="B31" s="2" t="s">
        <v>1096</v>
      </c>
      <c r="C31" s="2">
        <v>50</v>
      </c>
      <c r="D31" s="2" t="s">
        <v>413</v>
      </c>
      <c r="E31" s="2">
        <v>2</v>
      </c>
      <c r="F31" s="2" t="s">
        <v>435</v>
      </c>
      <c r="G31" s="2">
        <v>1</v>
      </c>
      <c r="H31" s="2" t="s">
        <v>123</v>
      </c>
      <c r="I31" s="2">
        <v>4</v>
      </c>
      <c r="K31" s="167"/>
      <c r="L31" s="2" t="s">
        <v>1274</v>
      </c>
      <c r="M31" s="2">
        <v>60</v>
      </c>
      <c r="N31" s="2" t="s">
        <v>124</v>
      </c>
      <c r="O31" s="2">
        <v>6</v>
      </c>
      <c r="P31" s="2" t="s">
        <v>411</v>
      </c>
      <c r="Q31" s="2">
        <v>4</v>
      </c>
      <c r="R31" s="2" t="s">
        <v>440</v>
      </c>
      <c r="S31" s="2">
        <v>2</v>
      </c>
    </row>
    <row r="32" spans="1:20">
      <c r="A32" s="164"/>
      <c r="B32" s="2" t="s">
        <v>1097</v>
      </c>
      <c r="C32" s="2">
        <v>52</v>
      </c>
      <c r="D32" s="2" t="s">
        <v>413</v>
      </c>
      <c r="E32" s="2">
        <v>3</v>
      </c>
      <c r="F32" s="2" t="s">
        <v>436</v>
      </c>
      <c r="G32" s="2">
        <v>1</v>
      </c>
      <c r="H32" s="2" t="s">
        <v>123</v>
      </c>
      <c r="I32" s="2">
        <v>4</v>
      </c>
      <c r="K32" s="167"/>
      <c r="L32" s="2" t="s">
        <v>1275</v>
      </c>
      <c r="M32" s="2">
        <v>62</v>
      </c>
      <c r="N32" s="2" t="s">
        <v>126</v>
      </c>
      <c r="O32" s="2">
        <v>4</v>
      </c>
      <c r="P32" s="2" t="s">
        <v>412</v>
      </c>
      <c r="Q32" s="2">
        <v>4</v>
      </c>
      <c r="R32" s="2" t="s">
        <v>441</v>
      </c>
      <c r="S32" s="2">
        <v>2</v>
      </c>
    </row>
    <row r="33" spans="1:20">
      <c r="A33" s="164"/>
      <c r="B33" s="2" t="s">
        <v>1098</v>
      </c>
      <c r="C33" s="2">
        <v>54</v>
      </c>
      <c r="D33" s="2" t="s">
        <v>413</v>
      </c>
      <c r="E33" s="2">
        <v>3</v>
      </c>
      <c r="F33" s="2" t="s">
        <v>437</v>
      </c>
      <c r="G33" s="2">
        <v>1</v>
      </c>
      <c r="H33" s="2" t="s">
        <v>124</v>
      </c>
      <c r="I33" s="2">
        <v>4</v>
      </c>
      <c r="K33" s="167"/>
      <c r="L33" s="2" t="s">
        <v>1276</v>
      </c>
      <c r="M33" s="2">
        <v>66</v>
      </c>
      <c r="N33" s="2" t="s">
        <v>126</v>
      </c>
      <c r="O33" s="2">
        <v>4</v>
      </c>
      <c r="P33" s="2" t="s">
        <v>413</v>
      </c>
      <c r="Q33" s="2">
        <v>2</v>
      </c>
      <c r="R33" s="2" t="s">
        <v>442</v>
      </c>
      <c r="S33" s="2">
        <v>2</v>
      </c>
    </row>
    <row r="34" spans="1:20">
      <c r="A34" s="164"/>
      <c r="B34" s="2" t="s">
        <v>1099</v>
      </c>
      <c r="C34" s="2">
        <v>56</v>
      </c>
      <c r="D34" s="2" t="s">
        <v>414</v>
      </c>
      <c r="E34" s="2">
        <v>3</v>
      </c>
      <c r="F34" s="2" t="s">
        <v>438</v>
      </c>
      <c r="G34" s="2">
        <v>1</v>
      </c>
      <c r="H34" s="2" t="s">
        <v>124</v>
      </c>
      <c r="I34" s="2">
        <v>4</v>
      </c>
      <c r="K34" s="167"/>
      <c r="L34" s="2" t="s">
        <v>1277</v>
      </c>
      <c r="M34" s="2">
        <v>70</v>
      </c>
      <c r="N34" s="2" t="s">
        <v>129</v>
      </c>
      <c r="O34" s="2">
        <v>4</v>
      </c>
      <c r="P34" s="2" t="s">
        <v>414</v>
      </c>
      <c r="Q34" s="2">
        <v>2</v>
      </c>
      <c r="R34" s="2" t="s">
        <v>443</v>
      </c>
      <c r="S34" s="2">
        <v>2</v>
      </c>
    </row>
    <row r="35" spans="1:20">
      <c r="A35" s="164"/>
      <c r="B35" s="2" t="s">
        <v>1100</v>
      </c>
      <c r="C35" s="2">
        <v>58</v>
      </c>
      <c r="D35" s="2" t="s">
        <v>414</v>
      </c>
      <c r="E35" s="2">
        <v>3</v>
      </c>
      <c r="F35" s="2" t="s">
        <v>439</v>
      </c>
      <c r="G35" s="2">
        <v>1</v>
      </c>
      <c r="H35" s="2" t="s">
        <v>129</v>
      </c>
      <c r="I35" s="2">
        <v>4</v>
      </c>
      <c r="K35" s="167"/>
      <c r="L35" s="2" t="s">
        <v>1278</v>
      </c>
      <c r="M35" s="2">
        <v>74</v>
      </c>
      <c r="N35" s="2" t="s">
        <v>129</v>
      </c>
      <c r="O35" s="2">
        <v>4</v>
      </c>
      <c r="P35" s="2" t="s">
        <v>415</v>
      </c>
      <c r="Q35" s="2">
        <v>2</v>
      </c>
      <c r="R35" s="2" t="s">
        <v>444</v>
      </c>
      <c r="S35" s="2">
        <v>2</v>
      </c>
    </row>
    <row r="36" spans="1:20">
      <c r="A36" s="164"/>
      <c r="B36" s="2" t="s">
        <v>1101</v>
      </c>
      <c r="C36" s="2">
        <v>60</v>
      </c>
      <c r="D36" s="2" t="s">
        <v>415</v>
      </c>
      <c r="E36" s="2">
        <v>3</v>
      </c>
      <c r="F36" s="2" t="s">
        <v>440</v>
      </c>
      <c r="G36" s="2">
        <v>1</v>
      </c>
      <c r="H36" s="2" t="s">
        <v>1106</v>
      </c>
      <c r="I36" s="2">
        <v>1</v>
      </c>
      <c r="K36" s="167"/>
      <c r="L36" s="2" t="s">
        <v>1279</v>
      </c>
      <c r="M36" s="2">
        <v>78</v>
      </c>
      <c r="N36" s="2" t="s">
        <v>130</v>
      </c>
      <c r="O36" s="2">
        <v>4</v>
      </c>
      <c r="P36" s="2" t="s">
        <v>416</v>
      </c>
      <c r="Q36" s="2">
        <v>2</v>
      </c>
      <c r="R36" s="2" t="s">
        <v>445</v>
      </c>
      <c r="S36" s="2">
        <v>2</v>
      </c>
    </row>
    <row r="37" spans="1:20">
      <c r="A37" s="164"/>
      <c r="B37" s="2" t="s">
        <v>1102</v>
      </c>
      <c r="C37" s="2">
        <v>62</v>
      </c>
      <c r="D37" s="2" t="s">
        <v>415</v>
      </c>
      <c r="E37" s="2">
        <v>4</v>
      </c>
      <c r="F37" s="2" t="s">
        <v>441</v>
      </c>
      <c r="G37" s="2">
        <v>1</v>
      </c>
      <c r="H37" s="2" t="s">
        <v>1106</v>
      </c>
      <c r="I37" s="2">
        <v>1</v>
      </c>
      <c r="K37" s="167"/>
      <c r="L37" s="2" t="s">
        <v>1280</v>
      </c>
      <c r="M37" s="2">
        <v>84</v>
      </c>
      <c r="N37" s="2" t="s">
        <v>130</v>
      </c>
      <c r="O37" s="2">
        <v>5</v>
      </c>
      <c r="P37" s="2" t="s">
        <v>417</v>
      </c>
      <c r="Q37" s="2">
        <v>2</v>
      </c>
      <c r="R37" s="2" t="s">
        <v>446</v>
      </c>
      <c r="S37" s="2">
        <v>2</v>
      </c>
    </row>
    <row r="38" spans="1:20">
      <c r="A38" s="164"/>
      <c r="B38" s="2" t="s">
        <v>1103</v>
      </c>
      <c r="C38" s="2">
        <v>50</v>
      </c>
      <c r="D38" s="2" t="s">
        <v>418</v>
      </c>
      <c r="E38" s="2">
        <v>6</v>
      </c>
      <c r="F38" s="2" t="s">
        <v>132</v>
      </c>
      <c r="G38" s="2">
        <v>5</v>
      </c>
      <c r="H38" s="2" t="s">
        <v>447</v>
      </c>
      <c r="I38" s="2">
        <v>2</v>
      </c>
      <c r="K38" s="167"/>
      <c r="L38" s="2" t="s">
        <v>1281</v>
      </c>
      <c r="M38" s="2">
        <v>50</v>
      </c>
      <c r="N38" s="2" t="s">
        <v>132</v>
      </c>
      <c r="O38" s="2">
        <v>10</v>
      </c>
      <c r="P38" s="2" t="s">
        <v>418</v>
      </c>
      <c r="Q38" s="2">
        <v>2</v>
      </c>
      <c r="R38" s="2" t="s">
        <v>447</v>
      </c>
      <c r="S38" s="2">
        <v>4</v>
      </c>
    </row>
    <row r="39" spans="1:20">
      <c r="A39" s="164"/>
      <c r="B39" s="2" t="s">
        <v>1104</v>
      </c>
      <c r="C39" s="2">
        <v>60</v>
      </c>
      <c r="D39" s="2" t="s">
        <v>1107</v>
      </c>
      <c r="E39" s="2">
        <v>8</v>
      </c>
      <c r="F39" s="2" t="s">
        <v>133</v>
      </c>
      <c r="G39" s="2">
        <v>4</v>
      </c>
      <c r="H39" s="2" t="s">
        <v>448</v>
      </c>
      <c r="I39" s="2">
        <v>2</v>
      </c>
      <c r="K39" s="167"/>
      <c r="L39" s="2" t="s">
        <v>1282</v>
      </c>
      <c r="M39" s="2">
        <v>60</v>
      </c>
      <c r="N39" s="2" t="s">
        <v>133</v>
      </c>
      <c r="O39" s="2">
        <v>12</v>
      </c>
      <c r="P39" s="2" t="s">
        <v>1107</v>
      </c>
      <c r="Q39" s="2">
        <v>3</v>
      </c>
      <c r="R39" s="2" t="s">
        <v>448</v>
      </c>
      <c r="S39" s="2">
        <v>5</v>
      </c>
    </row>
    <row r="40" spans="1:20">
      <c r="A40" s="164"/>
      <c r="B40" s="2" t="s">
        <v>1105</v>
      </c>
      <c r="C40" s="2">
        <v>75</v>
      </c>
      <c r="D40" s="2" t="s">
        <v>421</v>
      </c>
      <c r="E40" s="2">
        <v>8</v>
      </c>
      <c r="F40" s="2" t="s">
        <v>134</v>
      </c>
      <c r="G40" s="2">
        <v>5</v>
      </c>
      <c r="H40" s="2" t="s">
        <v>449</v>
      </c>
      <c r="I40" s="2">
        <v>3</v>
      </c>
      <c r="K40" s="167"/>
      <c r="L40" s="2" t="s">
        <v>1283</v>
      </c>
      <c r="M40" s="2">
        <v>75</v>
      </c>
      <c r="N40" s="2" t="s">
        <v>134</v>
      </c>
      <c r="O40" s="2">
        <v>12</v>
      </c>
      <c r="P40" s="2" t="s">
        <v>421</v>
      </c>
      <c r="Q40" s="2">
        <v>4</v>
      </c>
      <c r="R40" s="2" t="s">
        <v>449</v>
      </c>
      <c r="S40" s="2">
        <v>6</v>
      </c>
    </row>
    <row r="41" spans="1:20">
      <c r="A41" s="164"/>
      <c r="B41" s="2" t="s">
        <v>1109</v>
      </c>
      <c r="C41" s="2">
        <v>86</v>
      </c>
      <c r="D41" s="2" t="s">
        <v>405</v>
      </c>
      <c r="E41" s="2">
        <v>3</v>
      </c>
      <c r="F41" s="2" t="s">
        <v>575</v>
      </c>
      <c r="G41" s="2">
        <v>1</v>
      </c>
      <c r="H41" s="2" t="s">
        <v>137</v>
      </c>
      <c r="I41" s="2">
        <v>1</v>
      </c>
      <c r="K41" s="167"/>
      <c r="L41" s="2" t="s">
        <v>1284</v>
      </c>
      <c r="M41" s="2">
        <v>90</v>
      </c>
      <c r="N41" s="2" t="s">
        <v>135</v>
      </c>
      <c r="O41" s="2">
        <v>4</v>
      </c>
      <c r="P41" s="2" t="s">
        <v>424</v>
      </c>
      <c r="Q41" s="2">
        <v>2</v>
      </c>
      <c r="R41" s="2" t="s">
        <v>575</v>
      </c>
      <c r="S41" s="2">
        <v>1</v>
      </c>
      <c r="T41" s="20" t="s">
        <v>2511</v>
      </c>
    </row>
    <row r="42" spans="1:20">
      <c r="A42" s="164"/>
      <c r="B42" s="2" t="s">
        <v>1110</v>
      </c>
      <c r="C42" s="2">
        <v>89</v>
      </c>
      <c r="D42" s="2" t="s">
        <v>423</v>
      </c>
      <c r="E42" s="2">
        <v>3</v>
      </c>
      <c r="F42" s="2" t="s">
        <v>576</v>
      </c>
      <c r="G42" s="2">
        <v>1</v>
      </c>
      <c r="H42" s="2" t="s">
        <v>137</v>
      </c>
      <c r="I42" s="2">
        <v>1</v>
      </c>
      <c r="K42" s="167"/>
      <c r="L42" s="2" t="s">
        <v>1285</v>
      </c>
      <c r="M42" s="2">
        <v>95</v>
      </c>
      <c r="N42" s="2" t="s">
        <v>136</v>
      </c>
      <c r="O42" s="2">
        <v>4</v>
      </c>
      <c r="P42" s="2" t="s">
        <v>424</v>
      </c>
      <c r="Q42" s="2">
        <v>2</v>
      </c>
      <c r="R42" s="2" t="s">
        <v>1066</v>
      </c>
      <c r="S42" s="2">
        <v>1</v>
      </c>
      <c r="T42" s="20" t="s">
        <v>1855</v>
      </c>
    </row>
    <row r="43" spans="1:20">
      <c r="A43" s="164"/>
      <c r="B43" s="2" t="s">
        <v>1112</v>
      </c>
      <c r="C43" s="2">
        <v>92</v>
      </c>
      <c r="D43" s="2" t="s">
        <v>424</v>
      </c>
      <c r="E43" s="2">
        <v>3</v>
      </c>
      <c r="F43" s="2" t="s">
        <v>1066</v>
      </c>
      <c r="G43" s="2">
        <v>1</v>
      </c>
      <c r="H43" s="2" t="s">
        <v>137</v>
      </c>
      <c r="I43" s="2">
        <v>1</v>
      </c>
      <c r="K43" s="167"/>
      <c r="L43" s="2" t="s">
        <v>2384</v>
      </c>
      <c r="M43" s="2">
        <v>110</v>
      </c>
      <c r="N43" s="2" t="s">
        <v>1753</v>
      </c>
      <c r="O43" s="2">
        <v>4</v>
      </c>
      <c r="P43" s="2" t="s">
        <v>1790</v>
      </c>
      <c r="Q43" s="2">
        <v>2</v>
      </c>
      <c r="R43" s="2" t="s">
        <v>1793</v>
      </c>
      <c r="S43" s="2">
        <v>1</v>
      </c>
    </row>
    <row r="44" spans="1:20">
      <c r="A44" s="164"/>
      <c r="B44" s="2" t="s">
        <v>1111</v>
      </c>
      <c r="C44" s="2">
        <v>95</v>
      </c>
      <c r="D44" s="2" t="s">
        <v>424</v>
      </c>
      <c r="E44" s="2">
        <v>3</v>
      </c>
      <c r="F44" s="2" t="s">
        <v>1066</v>
      </c>
      <c r="G44" s="2">
        <v>2</v>
      </c>
      <c r="H44" s="2" t="s">
        <v>137</v>
      </c>
      <c r="I44" s="2">
        <v>1</v>
      </c>
      <c r="K44" s="167"/>
      <c r="L44" s="2" t="s">
        <v>2385</v>
      </c>
      <c r="M44" s="2">
        <v>120</v>
      </c>
      <c r="N44" s="2" t="s">
        <v>1754</v>
      </c>
      <c r="O44" s="2">
        <v>4</v>
      </c>
      <c r="P44" s="2" t="s">
        <v>1791</v>
      </c>
      <c r="Q44" s="2">
        <v>2</v>
      </c>
      <c r="R44" s="2" t="s">
        <v>1794</v>
      </c>
      <c r="S44" s="2">
        <v>1</v>
      </c>
    </row>
    <row r="45" spans="1:20">
      <c r="A45" s="164"/>
      <c r="B45" s="2" t="s">
        <v>2368</v>
      </c>
      <c r="C45" s="2">
        <v>110</v>
      </c>
      <c r="D45" s="2" t="s">
        <v>1790</v>
      </c>
      <c r="E45" s="2">
        <v>3</v>
      </c>
      <c r="F45" s="2" t="s">
        <v>1793</v>
      </c>
      <c r="G45" s="2">
        <v>1</v>
      </c>
      <c r="H45" s="2" t="s">
        <v>1753</v>
      </c>
      <c r="I45" s="2">
        <v>2</v>
      </c>
      <c r="K45" s="167"/>
      <c r="L45" s="2" t="s">
        <v>2386</v>
      </c>
      <c r="M45" s="2">
        <v>130</v>
      </c>
      <c r="N45" s="2" t="s">
        <v>1755</v>
      </c>
      <c r="O45" s="2">
        <v>4</v>
      </c>
      <c r="P45" s="2" t="s">
        <v>1792</v>
      </c>
      <c r="Q45" s="2">
        <v>2</v>
      </c>
      <c r="R45" s="2" t="s">
        <v>1795</v>
      </c>
      <c r="S45" s="2">
        <v>1</v>
      </c>
    </row>
    <row r="46" spans="1:20">
      <c r="A46" s="164"/>
      <c r="B46" s="2" t="s">
        <v>2369</v>
      </c>
      <c r="C46" s="2">
        <v>120</v>
      </c>
      <c r="D46" s="2" t="s">
        <v>1791</v>
      </c>
      <c r="E46" s="2">
        <v>3</v>
      </c>
      <c r="F46" s="2" t="s">
        <v>1794</v>
      </c>
      <c r="G46" s="2">
        <v>1</v>
      </c>
      <c r="H46" s="2" t="s">
        <v>1754</v>
      </c>
      <c r="I46" s="2">
        <v>2</v>
      </c>
      <c r="K46" s="167"/>
      <c r="L46" s="2" t="s">
        <v>1928</v>
      </c>
      <c r="M46" s="2">
        <v>140</v>
      </c>
      <c r="N46" s="2" t="s">
        <v>1879</v>
      </c>
      <c r="O46" s="2">
        <v>3</v>
      </c>
      <c r="P46" s="2" t="s">
        <v>1820</v>
      </c>
      <c r="Q46" s="2">
        <v>2</v>
      </c>
      <c r="R46" s="2" t="s">
        <v>1823</v>
      </c>
      <c r="S46" s="2">
        <v>1</v>
      </c>
    </row>
    <row r="47" spans="1:20">
      <c r="A47" s="164"/>
      <c r="B47" s="2" t="s">
        <v>2370</v>
      </c>
      <c r="C47" s="2">
        <v>130</v>
      </c>
      <c r="D47" s="2" t="s">
        <v>1792</v>
      </c>
      <c r="E47" s="2">
        <v>3</v>
      </c>
      <c r="F47" s="2" t="s">
        <v>1795</v>
      </c>
      <c r="G47" s="2">
        <v>1</v>
      </c>
      <c r="H47" s="2" t="s">
        <v>1755</v>
      </c>
      <c r="I47" s="2">
        <v>2</v>
      </c>
      <c r="K47" s="167"/>
      <c r="L47" s="2" t="s">
        <v>1929</v>
      </c>
      <c r="M47" s="2">
        <v>150</v>
      </c>
      <c r="N47" s="2" t="s">
        <v>1881</v>
      </c>
      <c r="O47" s="2">
        <v>3</v>
      </c>
      <c r="P47" s="2" t="s">
        <v>1820</v>
      </c>
      <c r="Q47" s="2">
        <v>2</v>
      </c>
      <c r="R47" s="2" t="s">
        <v>1824</v>
      </c>
      <c r="S47" s="2">
        <v>1</v>
      </c>
    </row>
    <row r="48" spans="1:20">
      <c r="A48" s="164"/>
      <c r="B48" s="2" t="s">
        <v>1910</v>
      </c>
      <c r="C48" s="2">
        <v>140</v>
      </c>
      <c r="D48" s="2" t="s">
        <v>1792</v>
      </c>
      <c r="E48" s="2">
        <v>3</v>
      </c>
      <c r="F48" s="2" t="s">
        <v>1795</v>
      </c>
      <c r="G48" s="2">
        <v>1</v>
      </c>
      <c r="H48" s="2" t="s">
        <v>1879</v>
      </c>
      <c r="I48" s="2">
        <v>3</v>
      </c>
      <c r="K48" s="167"/>
      <c r="L48" s="2"/>
      <c r="M48" s="2">
        <v>160</v>
      </c>
      <c r="N48" s="2"/>
      <c r="O48" s="2"/>
      <c r="P48" s="2"/>
      <c r="Q48" s="2"/>
      <c r="R48" s="2"/>
      <c r="S48" s="2"/>
    </row>
    <row r="49" spans="1:19">
      <c r="A49" s="164"/>
      <c r="B49" s="2" t="s">
        <v>1911</v>
      </c>
      <c r="C49" s="2">
        <v>150</v>
      </c>
      <c r="D49" s="2" t="s">
        <v>1820</v>
      </c>
      <c r="E49" s="2">
        <v>3</v>
      </c>
      <c r="F49" s="2" t="s">
        <v>1823</v>
      </c>
      <c r="G49" s="2">
        <v>1</v>
      </c>
      <c r="H49" s="2" t="s">
        <v>1879</v>
      </c>
      <c r="I49" s="2">
        <v>3</v>
      </c>
    </row>
    <row r="50" spans="1:19" ht="14.25" customHeight="1">
      <c r="A50" s="164"/>
      <c r="B50" s="2" t="s">
        <v>1912</v>
      </c>
      <c r="C50" s="2">
        <v>160</v>
      </c>
      <c r="D50" s="2" t="s">
        <v>1820</v>
      </c>
      <c r="E50" s="2">
        <v>3</v>
      </c>
      <c r="F50" s="2" t="s">
        <v>1824</v>
      </c>
      <c r="G50" s="2">
        <v>1</v>
      </c>
      <c r="H50" s="2" t="s">
        <v>1881</v>
      </c>
      <c r="I50" s="2">
        <v>3</v>
      </c>
      <c r="K50" s="167" t="s">
        <v>1287</v>
      </c>
      <c r="L50" s="2" t="s">
        <v>1288</v>
      </c>
      <c r="M50" s="2">
        <v>1</v>
      </c>
      <c r="N50" s="2" t="s">
        <v>118</v>
      </c>
      <c r="O50" s="2">
        <v>2</v>
      </c>
      <c r="P50" s="2" t="s">
        <v>1289</v>
      </c>
      <c r="Q50" s="2">
        <v>2</v>
      </c>
      <c r="R50" s="2"/>
      <c r="S50" s="2"/>
    </row>
    <row r="51" spans="1:19">
      <c r="K51" s="167"/>
      <c r="L51" s="2" t="s">
        <v>1290</v>
      </c>
      <c r="M51" s="2">
        <v>5</v>
      </c>
      <c r="N51" s="2" t="s">
        <v>118</v>
      </c>
      <c r="O51" s="2">
        <v>2</v>
      </c>
      <c r="P51" s="2" t="s">
        <v>1289</v>
      </c>
      <c r="Q51" s="2">
        <v>4</v>
      </c>
      <c r="R51" s="2"/>
      <c r="S51" s="2"/>
    </row>
    <row r="52" spans="1:19" ht="14.25" customHeight="1">
      <c r="A52" s="165" t="s">
        <v>1589</v>
      </c>
      <c r="B52" s="2" t="s">
        <v>1113</v>
      </c>
      <c r="C52" s="2">
        <v>1</v>
      </c>
      <c r="D52" s="2" t="s">
        <v>406</v>
      </c>
      <c r="E52" s="2">
        <v>2</v>
      </c>
      <c r="F52" s="2" t="s">
        <v>120</v>
      </c>
      <c r="G52" s="2">
        <v>4</v>
      </c>
      <c r="H52" s="2"/>
      <c r="I52" s="2"/>
      <c r="K52" s="167"/>
      <c r="L52" s="2" t="s">
        <v>1291</v>
      </c>
      <c r="M52" s="2">
        <v>10</v>
      </c>
      <c r="N52" s="2" t="s">
        <v>119</v>
      </c>
      <c r="O52" s="2">
        <v>2</v>
      </c>
      <c r="P52" s="2" t="s">
        <v>1292</v>
      </c>
      <c r="Q52" s="2">
        <v>4</v>
      </c>
      <c r="R52" s="2"/>
      <c r="S52" s="2"/>
    </row>
    <row r="53" spans="1:19">
      <c r="A53" s="166"/>
      <c r="B53" s="2" t="s">
        <v>1114</v>
      </c>
      <c r="C53" s="2">
        <v>5</v>
      </c>
      <c r="D53" s="2" t="s">
        <v>406</v>
      </c>
      <c r="E53" s="2">
        <v>3</v>
      </c>
      <c r="F53" s="2" t="s">
        <v>120</v>
      </c>
      <c r="G53" s="2">
        <v>4</v>
      </c>
      <c r="H53" s="2"/>
      <c r="I53" s="2"/>
      <c r="K53" s="167"/>
      <c r="L53" s="2" t="s">
        <v>1293</v>
      </c>
      <c r="M53" s="2">
        <v>15</v>
      </c>
      <c r="N53" s="2" t="s">
        <v>119</v>
      </c>
      <c r="O53" s="2">
        <v>2</v>
      </c>
      <c r="P53" s="2" t="s">
        <v>1292</v>
      </c>
      <c r="Q53" s="2">
        <v>6</v>
      </c>
      <c r="R53" s="2"/>
      <c r="S53" s="2"/>
    </row>
    <row r="54" spans="1:19">
      <c r="A54" s="166"/>
      <c r="B54" s="2" t="s">
        <v>1115</v>
      </c>
      <c r="C54" s="2">
        <v>10</v>
      </c>
      <c r="D54" s="2" t="s">
        <v>406</v>
      </c>
      <c r="E54" s="2">
        <v>4</v>
      </c>
      <c r="F54" s="2" t="s">
        <v>120</v>
      </c>
      <c r="G54" s="2">
        <v>4</v>
      </c>
      <c r="H54" s="2"/>
      <c r="I54" s="2"/>
      <c r="K54" s="167"/>
      <c r="L54" s="2" t="s">
        <v>1294</v>
      </c>
      <c r="M54" s="2">
        <v>20</v>
      </c>
      <c r="N54" s="2" t="s">
        <v>120</v>
      </c>
      <c r="O54" s="2">
        <v>3</v>
      </c>
      <c r="P54" s="2" t="s">
        <v>1292</v>
      </c>
      <c r="Q54" s="2">
        <v>4</v>
      </c>
      <c r="R54" s="2" t="s">
        <v>190</v>
      </c>
      <c r="S54" s="2">
        <v>4</v>
      </c>
    </row>
    <row r="55" spans="1:19">
      <c r="A55" s="166"/>
      <c r="B55" s="2" t="s">
        <v>1116</v>
      </c>
      <c r="C55" s="2">
        <v>15</v>
      </c>
      <c r="D55" s="2" t="s">
        <v>407</v>
      </c>
      <c r="E55" s="2">
        <v>3</v>
      </c>
      <c r="F55" s="2" t="s">
        <v>121</v>
      </c>
      <c r="G55" s="2">
        <v>4</v>
      </c>
      <c r="H55" s="2"/>
      <c r="I55" s="2"/>
      <c r="K55" s="167"/>
      <c r="L55" s="2" t="s">
        <v>1295</v>
      </c>
      <c r="M55" s="2">
        <v>25</v>
      </c>
      <c r="N55" s="2" t="s">
        <v>120</v>
      </c>
      <c r="O55" s="2">
        <v>4</v>
      </c>
      <c r="P55" s="2" t="s">
        <v>1292</v>
      </c>
      <c r="Q55" s="2">
        <v>6</v>
      </c>
      <c r="R55" s="2" t="s">
        <v>190</v>
      </c>
      <c r="S55" s="2">
        <v>6</v>
      </c>
    </row>
    <row r="56" spans="1:19">
      <c r="A56" s="166"/>
      <c r="B56" s="2" t="s">
        <v>1117</v>
      </c>
      <c r="C56" s="2">
        <v>20</v>
      </c>
      <c r="D56" s="2" t="s">
        <v>407</v>
      </c>
      <c r="E56" s="2">
        <v>4</v>
      </c>
      <c r="F56" s="2" t="s">
        <v>121</v>
      </c>
      <c r="G56" s="2">
        <v>4</v>
      </c>
      <c r="H56" s="2"/>
      <c r="I56" s="2"/>
      <c r="K56" s="167"/>
      <c r="L56" s="2" t="s">
        <v>1296</v>
      </c>
      <c r="M56" s="2">
        <v>30</v>
      </c>
      <c r="N56" s="2" t="s">
        <v>121</v>
      </c>
      <c r="O56" s="2">
        <v>4</v>
      </c>
      <c r="P56" s="2" t="s">
        <v>1297</v>
      </c>
      <c r="Q56" s="2">
        <v>6</v>
      </c>
      <c r="R56" s="2" t="s">
        <v>191</v>
      </c>
      <c r="S56" s="2">
        <v>6</v>
      </c>
    </row>
    <row r="57" spans="1:19">
      <c r="A57" s="166"/>
      <c r="B57" s="2" t="s">
        <v>1118</v>
      </c>
      <c r="C57" s="2">
        <v>25</v>
      </c>
      <c r="D57" s="2" t="s">
        <v>408</v>
      </c>
      <c r="E57" s="2">
        <v>4</v>
      </c>
      <c r="F57" s="2" t="s">
        <v>121</v>
      </c>
      <c r="G57" s="2">
        <v>4</v>
      </c>
      <c r="H57" s="2"/>
      <c r="I57" s="2"/>
      <c r="K57" s="167"/>
      <c r="L57" s="2" t="s">
        <v>1298</v>
      </c>
      <c r="M57" s="2">
        <v>35</v>
      </c>
      <c r="N57" s="2" t="s">
        <v>121</v>
      </c>
      <c r="O57" s="2">
        <v>6</v>
      </c>
      <c r="P57" s="2" t="s">
        <v>1297</v>
      </c>
      <c r="Q57" s="2">
        <v>6</v>
      </c>
      <c r="R57" s="2" t="s">
        <v>191</v>
      </c>
      <c r="S57" s="2">
        <v>8</v>
      </c>
    </row>
    <row r="58" spans="1:19">
      <c r="A58" s="166"/>
      <c r="B58" s="2" t="s">
        <v>1119</v>
      </c>
      <c r="C58" s="2">
        <v>30</v>
      </c>
      <c r="D58" s="2" t="s">
        <v>408</v>
      </c>
      <c r="E58" s="2">
        <v>4</v>
      </c>
      <c r="F58" s="2" t="s">
        <v>123</v>
      </c>
      <c r="G58" s="2">
        <v>4</v>
      </c>
      <c r="H58" s="2"/>
      <c r="I58" s="2"/>
      <c r="K58" s="167"/>
      <c r="L58" s="2" t="s">
        <v>1299</v>
      </c>
      <c r="M58" s="2">
        <v>40</v>
      </c>
      <c r="N58" s="2" t="s">
        <v>123</v>
      </c>
      <c r="O58" s="2">
        <v>6</v>
      </c>
      <c r="P58" s="2" t="s">
        <v>1297</v>
      </c>
      <c r="Q58" s="2">
        <v>6</v>
      </c>
      <c r="R58" s="2" t="s">
        <v>192</v>
      </c>
      <c r="S58" s="2">
        <v>8</v>
      </c>
    </row>
    <row r="59" spans="1:19">
      <c r="A59" s="166"/>
      <c r="B59" s="2" t="s">
        <v>1120</v>
      </c>
      <c r="C59" s="2">
        <v>35</v>
      </c>
      <c r="D59" s="2" t="s">
        <v>408</v>
      </c>
      <c r="E59" s="2">
        <v>6</v>
      </c>
      <c r="F59" s="2" t="s">
        <v>123</v>
      </c>
      <c r="G59" s="2">
        <v>4</v>
      </c>
      <c r="H59" s="2"/>
      <c r="I59" s="2"/>
      <c r="K59" s="167"/>
      <c r="L59" s="2" t="s">
        <v>1300</v>
      </c>
      <c r="M59" s="2">
        <v>45</v>
      </c>
      <c r="N59" s="2" t="s">
        <v>123</v>
      </c>
      <c r="O59" s="2">
        <v>8</v>
      </c>
      <c r="P59" s="2" t="s">
        <v>269</v>
      </c>
      <c r="Q59" s="2">
        <v>6</v>
      </c>
      <c r="R59" s="2" t="s">
        <v>192</v>
      </c>
      <c r="S59" s="2">
        <v>8</v>
      </c>
    </row>
    <row r="60" spans="1:19">
      <c r="A60" s="166"/>
      <c r="B60" s="2" t="s">
        <v>1121</v>
      </c>
      <c r="C60" s="2">
        <v>40</v>
      </c>
      <c r="D60" s="2" t="s">
        <v>408</v>
      </c>
      <c r="E60" s="2">
        <v>6</v>
      </c>
      <c r="F60" s="2" t="s">
        <v>407</v>
      </c>
      <c r="G60" s="2">
        <v>3</v>
      </c>
      <c r="H60" s="2" t="s">
        <v>124</v>
      </c>
      <c r="I60" s="2">
        <v>4</v>
      </c>
      <c r="K60" s="167"/>
      <c r="L60" s="2" t="s">
        <v>1301</v>
      </c>
      <c r="M60" s="2">
        <v>50</v>
      </c>
      <c r="N60" s="2" t="s">
        <v>124</v>
      </c>
      <c r="O60" s="2">
        <v>8</v>
      </c>
      <c r="P60" s="2" t="s">
        <v>269</v>
      </c>
      <c r="Q60" s="2">
        <v>8</v>
      </c>
      <c r="R60" s="2" t="s">
        <v>194</v>
      </c>
      <c r="S60" s="2">
        <v>8</v>
      </c>
    </row>
    <row r="61" spans="1:19">
      <c r="A61" s="166"/>
      <c r="B61" s="2" t="s">
        <v>1122</v>
      </c>
      <c r="C61" s="2">
        <v>45</v>
      </c>
      <c r="D61" s="2" t="s">
        <v>413</v>
      </c>
      <c r="E61" s="2">
        <v>2</v>
      </c>
      <c r="F61" s="2" t="s">
        <v>409</v>
      </c>
      <c r="G61" s="2">
        <v>2</v>
      </c>
      <c r="H61" s="2" t="s">
        <v>124</v>
      </c>
      <c r="I61" s="2">
        <v>4</v>
      </c>
      <c r="K61" s="167"/>
      <c r="L61" s="2" t="s">
        <v>1302</v>
      </c>
      <c r="M61" s="2">
        <v>55</v>
      </c>
      <c r="N61" s="2" t="s">
        <v>126</v>
      </c>
      <c r="O61" s="2">
        <v>8</v>
      </c>
      <c r="P61" s="2" t="s">
        <v>271</v>
      </c>
      <c r="Q61" s="2">
        <v>6</v>
      </c>
      <c r="R61" s="2" t="s">
        <v>194</v>
      </c>
      <c r="S61" s="2">
        <v>8</v>
      </c>
    </row>
    <row r="62" spans="1:19">
      <c r="A62" s="166"/>
      <c r="B62" s="2" t="s">
        <v>1123</v>
      </c>
      <c r="C62" s="2">
        <v>50</v>
      </c>
      <c r="D62" s="2" t="s">
        <v>413</v>
      </c>
      <c r="E62" s="2">
        <v>3</v>
      </c>
      <c r="F62" s="2" t="s">
        <v>409</v>
      </c>
      <c r="G62" s="2">
        <v>2</v>
      </c>
      <c r="H62" s="2" t="s">
        <v>126</v>
      </c>
      <c r="I62" s="2">
        <v>4</v>
      </c>
      <c r="K62" s="167"/>
      <c r="L62" s="2" t="s">
        <v>1303</v>
      </c>
      <c r="M62" s="2">
        <v>60</v>
      </c>
      <c r="N62" s="2" t="s">
        <v>126</v>
      </c>
      <c r="O62" s="2">
        <v>8</v>
      </c>
      <c r="P62" s="2" t="s">
        <v>271</v>
      </c>
      <c r="Q62" s="2">
        <v>8</v>
      </c>
      <c r="R62" s="2" t="s">
        <v>196</v>
      </c>
      <c r="S62" s="2">
        <v>8</v>
      </c>
    </row>
    <row r="63" spans="1:19">
      <c r="A63" s="166"/>
      <c r="B63" s="2" t="s">
        <v>1124</v>
      </c>
      <c r="C63" s="2">
        <v>55</v>
      </c>
      <c r="D63" s="2" t="s">
        <v>413</v>
      </c>
      <c r="E63" s="2">
        <v>4</v>
      </c>
      <c r="F63" s="2" t="s">
        <v>409</v>
      </c>
      <c r="G63" s="2">
        <v>2</v>
      </c>
      <c r="H63" s="2" t="s">
        <v>126</v>
      </c>
      <c r="I63" s="2">
        <v>4</v>
      </c>
      <c r="K63" s="167"/>
      <c r="L63" s="2" t="s">
        <v>1304</v>
      </c>
      <c r="M63" s="2">
        <v>65</v>
      </c>
      <c r="N63" s="2" t="s">
        <v>129</v>
      </c>
      <c r="O63" s="2">
        <v>8</v>
      </c>
      <c r="P63" s="2" t="s">
        <v>273</v>
      </c>
      <c r="Q63" s="2">
        <v>6</v>
      </c>
      <c r="R63" s="2" t="s">
        <v>332</v>
      </c>
      <c r="S63" s="2">
        <v>6</v>
      </c>
    </row>
    <row r="64" spans="1:19">
      <c r="A64" s="166"/>
      <c r="B64" s="2" t="s">
        <v>1125</v>
      </c>
      <c r="C64" s="2">
        <v>60</v>
      </c>
      <c r="D64" s="2" t="s">
        <v>413</v>
      </c>
      <c r="E64" s="2">
        <v>4</v>
      </c>
      <c r="F64" s="2" t="s">
        <v>410</v>
      </c>
      <c r="G64" s="2">
        <v>2</v>
      </c>
      <c r="H64" s="2" t="s">
        <v>129</v>
      </c>
      <c r="I64" s="2">
        <v>4</v>
      </c>
      <c r="K64" s="167"/>
      <c r="L64" s="2" t="s">
        <v>1305</v>
      </c>
      <c r="M64" s="2">
        <v>70</v>
      </c>
      <c r="N64" s="2" t="s">
        <v>129</v>
      </c>
      <c r="O64" s="2">
        <v>8</v>
      </c>
      <c r="P64" s="2" t="s">
        <v>273</v>
      </c>
      <c r="Q64" s="2">
        <v>8</v>
      </c>
      <c r="R64" s="2" t="s">
        <v>208</v>
      </c>
      <c r="S64" s="2">
        <v>8</v>
      </c>
    </row>
    <row r="65" spans="1:19">
      <c r="A65" s="166"/>
      <c r="B65" s="2" t="s">
        <v>1126</v>
      </c>
      <c r="C65" s="2">
        <v>65</v>
      </c>
      <c r="D65" s="2" t="s">
        <v>414</v>
      </c>
      <c r="E65" s="2">
        <v>3</v>
      </c>
      <c r="F65" s="2" t="s">
        <v>413</v>
      </c>
      <c r="G65" s="2">
        <v>3</v>
      </c>
      <c r="H65" s="2" t="s">
        <v>129</v>
      </c>
      <c r="I65" s="2">
        <v>4</v>
      </c>
      <c r="K65" s="167"/>
      <c r="L65" s="2" t="s">
        <v>1306</v>
      </c>
      <c r="M65" s="2">
        <v>75</v>
      </c>
      <c r="N65" s="2" t="s">
        <v>130</v>
      </c>
      <c r="O65" s="2">
        <v>8</v>
      </c>
      <c r="P65" s="2" t="s">
        <v>274</v>
      </c>
      <c r="Q65" s="2">
        <v>6</v>
      </c>
      <c r="R65" s="2" t="s">
        <v>209</v>
      </c>
      <c r="S65" s="2">
        <v>6</v>
      </c>
    </row>
    <row r="66" spans="1:19">
      <c r="A66" s="166"/>
      <c r="B66" s="2" t="s">
        <v>1127</v>
      </c>
      <c r="C66" s="2">
        <v>70</v>
      </c>
      <c r="D66" s="2" t="s">
        <v>415</v>
      </c>
      <c r="E66" s="2">
        <v>3</v>
      </c>
      <c r="F66" s="2" t="s">
        <v>413</v>
      </c>
      <c r="G66" s="2">
        <v>3</v>
      </c>
      <c r="H66" s="2" t="s">
        <v>130</v>
      </c>
      <c r="I66" s="2">
        <v>4</v>
      </c>
      <c r="K66" s="167"/>
      <c r="L66" s="2" t="s">
        <v>1307</v>
      </c>
      <c r="M66" s="2">
        <v>80</v>
      </c>
      <c r="N66" s="2" t="s">
        <v>130</v>
      </c>
      <c r="O66" s="2">
        <v>8</v>
      </c>
      <c r="P66" s="2" t="s">
        <v>274</v>
      </c>
      <c r="Q66" s="2">
        <v>8</v>
      </c>
      <c r="R66" s="2" t="s">
        <v>212</v>
      </c>
      <c r="S66" s="2">
        <v>6</v>
      </c>
    </row>
    <row r="67" spans="1:19">
      <c r="A67" s="166"/>
      <c r="B67" s="2" t="s">
        <v>1128</v>
      </c>
      <c r="C67" s="2">
        <v>75</v>
      </c>
      <c r="D67" s="2" t="s">
        <v>416</v>
      </c>
      <c r="E67" s="2">
        <v>3</v>
      </c>
      <c r="F67" s="2" t="s">
        <v>413</v>
      </c>
      <c r="G67" s="2">
        <v>3</v>
      </c>
      <c r="H67" s="2" t="s">
        <v>130</v>
      </c>
      <c r="I67" s="2">
        <v>4</v>
      </c>
      <c r="K67" s="167"/>
      <c r="L67" s="162" t="s">
        <v>1308</v>
      </c>
      <c r="M67" s="162"/>
      <c r="N67" s="162"/>
      <c r="O67" s="162"/>
      <c r="P67" s="162"/>
      <c r="Q67" s="162"/>
      <c r="R67" s="162"/>
      <c r="S67" s="162"/>
    </row>
    <row r="68" spans="1:19">
      <c r="A68" s="166"/>
      <c r="B68" s="2" t="s">
        <v>1129</v>
      </c>
      <c r="C68" s="2">
        <v>80</v>
      </c>
      <c r="D68" s="2" t="s">
        <v>417</v>
      </c>
      <c r="E68" s="2">
        <v>3</v>
      </c>
      <c r="F68" s="2" t="s">
        <v>413</v>
      </c>
      <c r="G68" s="2">
        <v>2</v>
      </c>
      <c r="H68" s="2" t="s">
        <v>130</v>
      </c>
      <c r="I68" s="2">
        <v>4</v>
      </c>
      <c r="K68" s="167"/>
      <c r="L68" s="2" t="s">
        <v>1309</v>
      </c>
      <c r="M68" s="2">
        <v>30</v>
      </c>
      <c r="N68" s="2" t="s">
        <v>118</v>
      </c>
      <c r="O68" s="2">
        <v>4</v>
      </c>
      <c r="P68" s="2" t="s">
        <v>1289</v>
      </c>
      <c r="Q68" s="2">
        <v>4</v>
      </c>
      <c r="R68" s="2" t="s">
        <v>426</v>
      </c>
      <c r="S68" s="2">
        <v>1</v>
      </c>
    </row>
    <row r="69" spans="1:19">
      <c r="A69" s="166"/>
      <c r="B69" s="162" t="s">
        <v>1130</v>
      </c>
      <c r="C69" s="162"/>
      <c r="D69" s="162"/>
      <c r="E69" s="162"/>
      <c r="F69" s="162"/>
      <c r="G69" s="162"/>
      <c r="H69" s="162"/>
      <c r="I69" s="162"/>
      <c r="K69" s="167"/>
      <c r="L69" s="2" t="s">
        <v>1310</v>
      </c>
      <c r="M69" s="2">
        <v>34</v>
      </c>
      <c r="N69" s="2" t="s">
        <v>118</v>
      </c>
      <c r="O69" s="2">
        <v>8</v>
      </c>
      <c r="P69" s="2" t="s">
        <v>1289</v>
      </c>
      <c r="Q69" s="2">
        <v>8</v>
      </c>
      <c r="R69" s="2" t="s">
        <v>427</v>
      </c>
      <c r="S69" s="2">
        <v>1</v>
      </c>
    </row>
    <row r="70" spans="1:19">
      <c r="A70" s="166"/>
      <c r="B70" s="2" t="s">
        <v>1131</v>
      </c>
      <c r="C70" s="2">
        <v>32</v>
      </c>
      <c r="D70" s="2" t="s">
        <v>408</v>
      </c>
      <c r="E70" s="2">
        <v>2</v>
      </c>
      <c r="F70" s="2" t="s">
        <v>429</v>
      </c>
      <c r="G70" s="2">
        <v>1</v>
      </c>
      <c r="H70" s="2" t="s">
        <v>121</v>
      </c>
      <c r="I70" s="2">
        <v>4</v>
      </c>
      <c r="K70" s="167"/>
      <c r="L70" s="2" t="s">
        <v>1311</v>
      </c>
      <c r="M70" s="2">
        <v>38</v>
      </c>
      <c r="N70" s="2" t="s">
        <v>118</v>
      </c>
      <c r="O70" s="2">
        <v>8</v>
      </c>
      <c r="P70" s="2" t="s">
        <v>1289</v>
      </c>
      <c r="Q70" s="2">
        <v>6</v>
      </c>
      <c r="R70" s="2" t="s">
        <v>429</v>
      </c>
      <c r="S70" s="2">
        <v>1</v>
      </c>
    </row>
    <row r="71" spans="1:19">
      <c r="A71" s="166"/>
      <c r="B71" s="2" t="s">
        <v>1132</v>
      </c>
      <c r="C71" s="2">
        <v>38</v>
      </c>
      <c r="D71" s="2" t="s">
        <v>408</v>
      </c>
      <c r="E71" s="2">
        <v>4</v>
      </c>
      <c r="F71" s="2" t="s">
        <v>430</v>
      </c>
      <c r="G71" s="2">
        <v>1</v>
      </c>
      <c r="H71" s="2" t="s">
        <v>121</v>
      </c>
      <c r="I71" s="2">
        <v>4</v>
      </c>
      <c r="K71" s="167"/>
      <c r="L71" s="2" t="s">
        <v>1312</v>
      </c>
      <c r="M71" s="2">
        <v>42</v>
      </c>
      <c r="N71" s="2" t="s">
        <v>119</v>
      </c>
      <c r="O71" s="2">
        <v>8</v>
      </c>
      <c r="P71" s="2" t="s">
        <v>1292</v>
      </c>
      <c r="Q71" s="2">
        <v>8</v>
      </c>
      <c r="R71" s="2" t="s">
        <v>430</v>
      </c>
      <c r="S71" s="2">
        <v>1</v>
      </c>
    </row>
    <row r="72" spans="1:19">
      <c r="A72" s="166"/>
      <c r="B72" s="2" t="s">
        <v>1133</v>
      </c>
      <c r="C72" s="2">
        <v>44</v>
      </c>
      <c r="D72" s="2" t="s">
        <v>413</v>
      </c>
      <c r="E72" s="2">
        <v>2</v>
      </c>
      <c r="F72" s="2" t="s">
        <v>431</v>
      </c>
      <c r="G72" s="2">
        <v>1</v>
      </c>
      <c r="H72" s="2" t="s">
        <v>123</v>
      </c>
      <c r="I72" s="2">
        <v>4</v>
      </c>
      <c r="K72" s="167"/>
      <c r="L72" s="2" t="s">
        <v>1313</v>
      </c>
      <c r="M72" s="2">
        <v>46</v>
      </c>
      <c r="N72" s="2" t="s">
        <v>119</v>
      </c>
      <c r="O72" s="2">
        <v>4</v>
      </c>
      <c r="P72" s="2" t="s">
        <v>1292</v>
      </c>
      <c r="Q72" s="2">
        <v>2</v>
      </c>
      <c r="R72" s="2" t="s">
        <v>431</v>
      </c>
      <c r="S72" s="2">
        <v>2</v>
      </c>
    </row>
    <row r="73" spans="1:19">
      <c r="A73" s="166"/>
      <c r="B73" s="2" t="s">
        <v>1134</v>
      </c>
      <c r="C73" s="2">
        <v>50</v>
      </c>
      <c r="D73" s="2" t="s">
        <v>413</v>
      </c>
      <c r="E73" s="2">
        <v>3</v>
      </c>
      <c r="F73" s="2" t="s">
        <v>432</v>
      </c>
      <c r="G73" s="2">
        <v>1</v>
      </c>
      <c r="H73" s="2" t="s">
        <v>123</v>
      </c>
      <c r="I73" s="2">
        <v>4</v>
      </c>
      <c r="K73" s="167"/>
      <c r="L73" s="2" t="s">
        <v>1314</v>
      </c>
      <c r="M73" s="2">
        <v>50</v>
      </c>
      <c r="N73" s="2" t="s">
        <v>119</v>
      </c>
      <c r="O73" s="2">
        <v>8</v>
      </c>
      <c r="P73" s="2" t="s">
        <v>1292</v>
      </c>
      <c r="Q73" s="2">
        <v>6</v>
      </c>
      <c r="R73" s="2" t="s">
        <v>432</v>
      </c>
      <c r="S73" s="2">
        <v>2</v>
      </c>
    </row>
    <row r="74" spans="1:19">
      <c r="A74" s="166"/>
      <c r="B74" s="2" t="s">
        <v>1135</v>
      </c>
      <c r="C74" s="2">
        <v>56</v>
      </c>
      <c r="D74" s="2" t="s">
        <v>413</v>
      </c>
      <c r="E74" s="2">
        <v>4</v>
      </c>
      <c r="F74" s="2" t="s">
        <v>433</v>
      </c>
      <c r="G74" s="2">
        <v>1</v>
      </c>
      <c r="H74" s="2" t="s">
        <v>124</v>
      </c>
      <c r="I74" s="2">
        <v>4</v>
      </c>
      <c r="K74" s="167"/>
      <c r="L74" s="2" t="s">
        <v>1315</v>
      </c>
      <c r="M74" s="2">
        <v>50</v>
      </c>
      <c r="N74" s="2" t="s">
        <v>120</v>
      </c>
      <c r="O74" s="2">
        <v>8</v>
      </c>
      <c r="P74" s="2" t="s">
        <v>1297</v>
      </c>
      <c r="Q74" s="2">
        <v>8</v>
      </c>
      <c r="R74" s="2" t="s">
        <v>433</v>
      </c>
      <c r="S74" s="2">
        <v>2</v>
      </c>
    </row>
    <row r="75" spans="1:19">
      <c r="A75" s="166"/>
      <c r="B75" s="2" t="s">
        <v>1136</v>
      </c>
      <c r="C75" s="2">
        <v>60</v>
      </c>
      <c r="D75" s="2" t="s">
        <v>413</v>
      </c>
      <c r="E75" s="2">
        <v>5</v>
      </c>
      <c r="F75" s="2" t="s">
        <v>434</v>
      </c>
      <c r="G75" s="2">
        <v>1</v>
      </c>
      <c r="H75" s="2" t="s">
        <v>124</v>
      </c>
      <c r="I75" s="2">
        <v>4</v>
      </c>
      <c r="K75" s="167"/>
      <c r="L75" s="2" t="s">
        <v>1316</v>
      </c>
      <c r="M75" s="2">
        <v>52</v>
      </c>
      <c r="N75" s="2" t="s">
        <v>120</v>
      </c>
      <c r="O75" s="2">
        <v>8</v>
      </c>
      <c r="P75" s="2" t="s">
        <v>1297</v>
      </c>
      <c r="Q75" s="2">
        <v>8</v>
      </c>
      <c r="R75" s="2" t="s">
        <v>434</v>
      </c>
      <c r="S75" s="2">
        <v>2</v>
      </c>
    </row>
    <row r="76" spans="1:19">
      <c r="A76" s="166"/>
      <c r="B76" s="2" t="s">
        <v>1137</v>
      </c>
      <c r="C76" s="2">
        <v>66</v>
      </c>
      <c r="D76" s="2" t="s">
        <v>414</v>
      </c>
      <c r="E76" s="2">
        <v>4</v>
      </c>
      <c r="F76" s="2" t="s">
        <v>442</v>
      </c>
      <c r="G76" s="2">
        <v>1</v>
      </c>
      <c r="H76" s="2" t="s">
        <v>126</v>
      </c>
      <c r="I76" s="2">
        <v>4</v>
      </c>
      <c r="K76" s="167"/>
      <c r="L76" s="2" t="s">
        <v>1317</v>
      </c>
      <c r="M76" s="2">
        <v>54</v>
      </c>
      <c r="N76" s="2" t="s">
        <v>121</v>
      </c>
      <c r="O76" s="2">
        <v>8</v>
      </c>
      <c r="P76" s="2" t="s">
        <v>269</v>
      </c>
      <c r="Q76" s="2">
        <v>8</v>
      </c>
      <c r="R76" s="2" t="s">
        <v>435</v>
      </c>
      <c r="S76" s="2">
        <v>2</v>
      </c>
    </row>
    <row r="77" spans="1:19">
      <c r="A77" s="166"/>
      <c r="B77" s="2" t="s">
        <v>1138</v>
      </c>
      <c r="C77" s="2">
        <v>70</v>
      </c>
      <c r="D77" s="2" t="s">
        <v>414</v>
      </c>
      <c r="E77" s="2">
        <v>4</v>
      </c>
      <c r="F77" s="2" t="s">
        <v>444</v>
      </c>
      <c r="G77" s="2">
        <v>1</v>
      </c>
      <c r="H77" s="2" t="s">
        <v>129</v>
      </c>
      <c r="I77" s="2">
        <v>4</v>
      </c>
      <c r="K77" s="167"/>
      <c r="L77" s="2" t="s">
        <v>1318</v>
      </c>
      <c r="M77" s="2">
        <v>54</v>
      </c>
      <c r="N77" s="2" t="s">
        <v>121</v>
      </c>
      <c r="O77" s="2">
        <v>8</v>
      </c>
      <c r="P77" s="2" t="s">
        <v>269</v>
      </c>
      <c r="Q77" s="2">
        <v>8</v>
      </c>
      <c r="R77" s="2" t="s">
        <v>436</v>
      </c>
      <c r="S77" s="2">
        <v>2</v>
      </c>
    </row>
    <row r="78" spans="1:19">
      <c r="A78" s="166"/>
      <c r="B78" s="2" t="s">
        <v>1139</v>
      </c>
      <c r="C78" s="2">
        <v>74</v>
      </c>
      <c r="D78" s="2" t="s">
        <v>415</v>
      </c>
      <c r="E78" s="2">
        <v>3</v>
      </c>
      <c r="F78" s="2" t="s">
        <v>443</v>
      </c>
      <c r="G78" s="2">
        <v>1</v>
      </c>
      <c r="H78" s="2" t="s">
        <v>129</v>
      </c>
      <c r="I78" s="2">
        <v>4</v>
      </c>
      <c r="K78" s="167"/>
      <c r="L78" s="2" t="s">
        <v>1319</v>
      </c>
      <c r="M78" s="2">
        <v>56</v>
      </c>
      <c r="N78" s="2" t="s">
        <v>121</v>
      </c>
      <c r="O78" s="2">
        <v>8</v>
      </c>
      <c r="P78" s="2" t="s">
        <v>269</v>
      </c>
      <c r="Q78" s="2">
        <v>8</v>
      </c>
      <c r="R78" s="2" t="s">
        <v>437</v>
      </c>
      <c r="S78" s="2">
        <v>2</v>
      </c>
    </row>
    <row r="79" spans="1:19">
      <c r="A79" s="166"/>
      <c r="B79" s="2" t="s">
        <v>1140</v>
      </c>
      <c r="C79" s="2">
        <v>78</v>
      </c>
      <c r="D79" s="2" t="s">
        <v>415</v>
      </c>
      <c r="E79" s="2">
        <v>3</v>
      </c>
      <c r="F79" s="2" t="s">
        <v>446</v>
      </c>
      <c r="G79" s="2">
        <v>1</v>
      </c>
      <c r="H79" s="2" t="s">
        <v>130</v>
      </c>
      <c r="I79" s="2">
        <v>4</v>
      </c>
      <c r="K79" s="167"/>
      <c r="L79" s="2" t="s">
        <v>1320</v>
      </c>
      <c r="M79" s="2">
        <v>58</v>
      </c>
      <c r="N79" s="2" t="s">
        <v>124</v>
      </c>
      <c r="O79" s="2">
        <v>8</v>
      </c>
      <c r="P79" s="2" t="s">
        <v>271</v>
      </c>
      <c r="Q79" s="2">
        <v>8</v>
      </c>
      <c r="R79" s="2" t="s">
        <v>438</v>
      </c>
      <c r="S79" s="2">
        <v>1</v>
      </c>
    </row>
    <row r="80" spans="1:19">
      <c r="A80" s="166"/>
      <c r="B80" s="2" t="s">
        <v>1141</v>
      </c>
      <c r="C80" s="2">
        <v>84</v>
      </c>
      <c r="D80" s="2" t="s">
        <v>416</v>
      </c>
      <c r="E80" s="2">
        <v>3</v>
      </c>
      <c r="F80" s="2" t="s">
        <v>445</v>
      </c>
      <c r="G80" s="2">
        <v>1</v>
      </c>
      <c r="H80" s="2" t="s">
        <v>130</v>
      </c>
      <c r="I80" s="2">
        <v>4</v>
      </c>
      <c r="K80" s="167"/>
      <c r="L80" s="2" t="s">
        <v>1321</v>
      </c>
      <c r="M80" s="2">
        <v>58</v>
      </c>
      <c r="N80" s="2" t="s">
        <v>124</v>
      </c>
      <c r="O80" s="2">
        <v>8</v>
      </c>
      <c r="P80" s="2" t="s">
        <v>271</v>
      </c>
      <c r="Q80" s="2">
        <v>8</v>
      </c>
      <c r="R80" s="2" t="s">
        <v>439</v>
      </c>
      <c r="S80" s="2">
        <v>1</v>
      </c>
    </row>
    <row r="81" spans="1:19">
      <c r="A81" s="166"/>
      <c r="B81" s="2" t="s">
        <v>1142</v>
      </c>
      <c r="C81" s="2">
        <v>50</v>
      </c>
      <c r="D81" s="2" t="s">
        <v>413</v>
      </c>
      <c r="E81" s="2">
        <v>3</v>
      </c>
      <c r="F81" s="2" t="s">
        <v>435</v>
      </c>
      <c r="G81" s="2">
        <v>1</v>
      </c>
      <c r="H81" s="2" t="s">
        <v>124</v>
      </c>
      <c r="I81" s="2">
        <v>4</v>
      </c>
      <c r="K81" s="167"/>
      <c r="L81" s="2" t="s">
        <v>1322</v>
      </c>
      <c r="M81" s="2">
        <v>60</v>
      </c>
      <c r="N81" s="2" t="s">
        <v>124</v>
      </c>
      <c r="O81" s="2">
        <v>8</v>
      </c>
      <c r="P81" s="2" t="s">
        <v>271</v>
      </c>
      <c r="Q81" s="2">
        <v>8</v>
      </c>
      <c r="R81" s="2" t="s">
        <v>440</v>
      </c>
      <c r="S81" s="2">
        <v>1</v>
      </c>
    </row>
    <row r="82" spans="1:19">
      <c r="A82" s="166"/>
      <c r="B82" s="2" t="s">
        <v>1143</v>
      </c>
      <c r="C82" s="2">
        <v>52</v>
      </c>
      <c r="D82" s="2" t="s">
        <v>413</v>
      </c>
      <c r="E82" s="2">
        <v>4</v>
      </c>
      <c r="F82" s="2" t="s">
        <v>436</v>
      </c>
      <c r="G82" s="2">
        <v>1</v>
      </c>
      <c r="H82" s="2" t="s">
        <v>126</v>
      </c>
      <c r="I82" s="2">
        <v>4</v>
      </c>
      <c r="K82" s="167"/>
      <c r="L82" s="2" t="s">
        <v>1323</v>
      </c>
      <c r="M82" s="2">
        <v>62</v>
      </c>
      <c r="N82" s="2" t="s">
        <v>126</v>
      </c>
      <c r="O82" s="2">
        <v>8</v>
      </c>
      <c r="P82" s="2" t="s">
        <v>273</v>
      </c>
      <c r="Q82" s="2">
        <v>6</v>
      </c>
      <c r="R82" s="2" t="s">
        <v>441</v>
      </c>
      <c r="S82" s="2">
        <v>1</v>
      </c>
    </row>
    <row r="83" spans="1:19">
      <c r="A83" s="166"/>
      <c r="B83" s="2" t="s">
        <v>1144</v>
      </c>
      <c r="C83" s="2">
        <v>54</v>
      </c>
      <c r="D83" s="2" t="s">
        <v>413</v>
      </c>
      <c r="E83" s="2">
        <v>5</v>
      </c>
      <c r="F83" s="2" t="s">
        <v>437</v>
      </c>
      <c r="G83" s="2">
        <v>1</v>
      </c>
      <c r="H83" s="2" t="s">
        <v>126</v>
      </c>
      <c r="I83" s="2">
        <v>4</v>
      </c>
      <c r="K83" s="167"/>
      <c r="L83" s="2" t="s">
        <v>1324</v>
      </c>
      <c r="M83" s="2">
        <v>62</v>
      </c>
      <c r="N83" s="2" t="s">
        <v>126</v>
      </c>
      <c r="O83" s="2">
        <v>8</v>
      </c>
      <c r="P83" s="2" t="s">
        <v>273</v>
      </c>
      <c r="Q83" s="2">
        <v>6</v>
      </c>
      <c r="R83" s="2" t="s">
        <v>442</v>
      </c>
      <c r="S83" s="2">
        <v>1</v>
      </c>
    </row>
    <row r="84" spans="1:19">
      <c r="A84" s="166"/>
      <c r="B84" s="2" t="s">
        <v>1145</v>
      </c>
      <c r="C84" s="2">
        <v>56</v>
      </c>
      <c r="D84" s="2" t="s">
        <v>414</v>
      </c>
      <c r="E84" s="2">
        <v>4</v>
      </c>
      <c r="F84" s="2" t="s">
        <v>438</v>
      </c>
      <c r="G84" s="2">
        <v>1</v>
      </c>
      <c r="H84" s="2" t="s">
        <v>129</v>
      </c>
      <c r="I84" s="2">
        <v>4</v>
      </c>
      <c r="K84" s="167"/>
      <c r="L84" s="2" t="s">
        <v>1325</v>
      </c>
      <c r="M84" s="2">
        <v>66</v>
      </c>
      <c r="N84" s="2" t="s">
        <v>129</v>
      </c>
      <c r="O84" s="2">
        <v>8</v>
      </c>
      <c r="P84" s="2" t="s">
        <v>274</v>
      </c>
      <c r="Q84" s="2">
        <v>4</v>
      </c>
      <c r="R84" s="2" t="s">
        <v>443</v>
      </c>
      <c r="S84" s="2">
        <v>1</v>
      </c>
    </row>
    <row r="85" spans="1:19">
      <c r="A85" s="166"/>
      <c r="B85" s="2" t="s">
        <v>1146</v>
      </c>
      <c r="C85" s="2">
        <v>58</v>
      </c>
      <c r="D85" s="2" t="s">
        <v>414</v>
      </c>
      <c r="E85" s="2">
        <v>4</v>
      </c>
      <c r="F85" s="2" t="s">
        <v>439</v>
      </c>
      <c r="G85" s="2">
        <v>1</v>
      </c>
      <c r="H85" s="2" t="s">
        <v>130</v>
      </c>
      <c r="I85" s="2">
        <v>4</v>
      </c>
      <c r="K85" s="167"/>
      <c r="L85" s="2" t="s">
        <v>1326</v>
      </c>
      <c r="M85" s="2">
        <v>70</v>
      </c>
      <c r="N85" s="2" t="s">
        <v>129</v>
      </c>
      <c r="O85" s="2">
        <v>8</v>
      </c>
      <c r="P85" s="2" t="s">
        <v>274</v>
      </c>
      <c r="Q85" s="2">
        <v>6</v>
      </c>
      <c r="R85" s="2" t="s">
        <v>444</v>
      </c>
      <c r="S85" s="2">
        <v>1</v>
      </c>
    </row>
    <row r="86" spans="1:19">
      <c r="A86" s="166"/>
      <c r="B86" s="2" t="s">
        <v>2469</v>
      </c>
      <c r="C86" s="2">
        <v>60</v>
      </c>
      <c r="D86" s="2" t="s">
        <v>415</v>
      </c>
      <c r="E86" s="2">
        <v>4</v>
      </c>
      <c r="F86" s="2" t="s">
        <v>440</v>
      </c>
      <c r="G86" s="2">
        <v>1</v>
      </c>
      <c r="H86" s="2" t="s">
        <v>1106</v>
      </c>
      <c r="I86" s="2">
        <v>1</v>
      </c>
      <c r="K86" s="167"/>
      <c r="L86" s="2" t="s">
        <v>1327</v>
      </c>
      <c r="M86" s="2">
        <v>77</v>
      </c>
      <c r="N86" s="2" t="s">
        <v>130</v>
      </c>
      <c r="O86" s="2">
        <v>8</v>
      </c>
      <c r="P86" s="2" t="s">
        <v>140</v>
      </c>
      <c r="Q86" s="2">
        <v>4</v>
      </c>
      <c r="R86" s="2" t="s">
        <v>445</v>
      </c>
      <c r="S86" s="2">
        <v>1</v>
      </c>
    </row>
    <row r="87" spans="1:19">
      <c r="A87" s="166"/>
      <c r="B87" s="2" t="s">
        <v>1147</v>
      </c>
      <c r="C87" s="2">
        <v>62</v>
      </c>
      <c r="D87" s="2" t="s">
        <v>416</v>
      </c>
      <c r="E87" s="2">
        <v>4</v>
      </c>
      <c r="F87" s="2" t="s">
        <v>441</v>
      </c>
      <c r="G87" s="2">
        <v>1</v>
      </c>
      <c r="H87" s="2" t="s">
        <v>1106</v>
      </c>
      <c r="I87" s="2">
        <v>1</v>
      </c>
      <c r="K87" s="167"/>
      <c r="L87" s="2" t="s">
        <v>1328</v>
      </c>
      <c r="M87" s="2">
        <v>84</v>
      </c>
      <c r="N87" s="2" t="s">
        <v>130</v>
      </c>
      <c r="O87" s="2">
        <v>8</v>
      </c>
      <c r="P87" s="2" t="s">
        <v>140</v>
      </c>
      <c r="Q87" s="2">
        <v>6</v>
      </c>
      <c r="R87" s="2" t="s">
        <v>446</v>
      </c>
      <c r="S87" s="2">
        <v>1</v>
      </c>
    </row>
    <row r="88" spans="1:19">
      <c r="A88" s="166"/>
      <c r="B88" s="2" t="s">
        <v>1148</v>
      </c>
      <c r="C88" s="2">
        <v>50</v>
      </c>
      <c r="D88" s="2" t="s">
        <v>418</v>
      </c>
      <c r="E88" s="2">
        <v>5</v>
      </c>
      <c r="F88" s="2" t="s">
        <v>132</v>
      </c>
      <c r="G88" s="2">
        <v>5</v>
      </c>
      <c r="H88" s="2" t="s">
        <v>447</v>
      </c>
      <c r="I88" s="2">
        <v>3</v>
      </c>
      <c r="K88" s="167"/>
      <c r="L88" s="2" t="s">
        <v>1329</v>
      </c>
      <c r="M88" s="2">
        <v>50</v>
      </c>
      <c r="N88" s="2" t="s">
        <v>132</v>
      </c>
      <c r="O88" s="2">
        <v>10</v>
      </c>
      <c r="P88" s="2" t="s">
        <v>141</v>
      </c>
      <c r="Q88" s="2">
        <v>10</v>
      </c>
      <c r="R88" s="2" t="s">
        <v>447</v>
      </c>
      <c r="S88" s="2">
        <v>3</v>
      </c>
    </row>
    <row r="89" spans="1:19">
      <c r="A89" s="166"/>
      <c r="B89" s="2" t="s">
        <v>1149</v>
      </c>
      <c r="C89" s="2">
        <v>60</v>
      </c>
      <c r="D89" s="2" t="s">
        <v>1107</v>
      </c>
      <c r="E89" s="2">
        <v>8</v>
      </c>
      <c r="F89" s="2" t="s">
        <v>133</v>
      </c>
      <c r="G89" s="2">
        <v>6</v>
      </c>
      <c r="H89" s="2" t="s">
        <v>448</v>
      </c>
      <c r="I89" s="2">
        <v>2</v>
      </c>
      <c r="K89" s="167"/>
      <c r="L89" s="2" t="s">
        <v>1330</v>
      </c>
      <c r="M89" s="2">
        <v>60</v>
      </c>
      <c r="N89" s="2" t="s">
        <v>133</v>
      </c>
      <c r="O89" s="2">
        <v>12</v>
      </c>
      <c r="P89" s="2" t="s">
        <v>142</v>
      </c>
      <c r="Q89" s="2">
        <v>10</v>
      </c>
      <c r="R89" s="2" t="s">
        <v>448</v>
      </c>
      <c r="S89" s="2">
        <v>5</v>
      </c>
    </row>
    <row r="90" spans="1:19">
      <c r="A90" s="166"/>
      <c r="B90" s="2" t="s">
        <v>1150</v>
      </c>
      <c r="C90" s="2">
        <v>75</v>
      </c>
      <c r="D90" s="2" t="s">
        <v>421</v>
      </c>
      <c r="E90" s="2">
        <v>8</v>
      </c>
      <c r="F90" s="2" t="s">
        <v>134</v>
      </c>
      <c r="G90" s="2">
        <v>8</v>
      </c>
      <c r="H90" s="2" t="s">
        <v>449</v>
      </c>
      <c r="I90" s="2">
        <v>3</v>
      </c>
      <c r="K90" s="167"/>
      <c r="L90" s="2" t="s">
        <v>1331</v>
      </c>
      <c r="M90" s="2">
        <v>75</v>
      </c>
      <c r="N90" s="2" t="s">
        <v>134</v>
      </c>
      <c r="O90" s="2">
        <v>12</v>
      </c>
      <c r="P90" s="2" t="s">
        <v>143</v>
      </c>
      <c r="Q90" s="2">
        <v>12</v>
      </c>
      <c r="R90" s="2" t="s">
        <v>449</v>
      </c>
      <c r="S90" s="2">
        <v>6</v>
      </c>
    </row>
    <row r="91" spans="1:19">
      <c r="A91" s="166"/>
      <c r="B91" s="2" t="s">
        <v>1190</v>
      </c>
      <c r="C91" s="2">
        <v>86</v>
      </c>
      <c r="D91" s="2" t="s">
        <v>405</v>
      </c>
      <c r="E91" s="2">
        <v>3</v>
      </c>
      <c r="F91" s="2" t="s">
        <v>1066</v>
      </c>
      <c r="G91" s="2">
        <v>1</v>
      </c>
      <c r="H91" s="2" t="s">
        <v>135</v>
      </c>
      <c r="I91" s="2">
        <v>1</v>
      </c>
      <c r="K91" s="167"/>
      <c r="L91" s="2" t="s">
        <v>1332</v>
      </c>
      <c r="M91" s="2">
        <v>90</v>
      </c>
      <c r="N91" s="2" t="s">
        <v>136</v>
      </c>
      <c r="O91" s="2">
        <v>8</v>
      </c>
      <c r="P91" s="2" t="s">
        <v>276</v>
      </c>
      <c r="Q91" s="2">
        <v>4</v>
      </c>
      <c r="R91" s="2" t="s">
        <v>575</v>
      </c>
      <c r="S91" s="2">
        <v>1</v>
      </c>
    </row>
    <row r="92" spans="1:19">
      <c r="A92" s="166"/>
      <c r="B92" s="2" t="s">
        <v>1191</v>
      </c>
      <c r="C92" s="2">
        <v>89</v>
      </c>
      <c r="D92" s="2" t="s">
        <v>423</v>
      </c>
      <c r="E92" s="2">
        <v>3</v>
      </c>
      <c r="F92" s="2" t="s">
        <v>576</v>
      </c>
      <c r="G92" s="2">
        <v>1</v>
      </c>
      <c r="H92" s="2" t="s">
        <v>135</v>
      </c>
      <c r="I92" s="2">
        <v>1</v>
      </c>
      <c r="K92" s="167"/>
      <c r="L92" s="2" t="s">
        <v>1333</v>
      </c>
      <c r="M92" s="2">
        <v>95</v>
      </c>
      <c r="N92" s="2" t="s">
        <v>137</v>
      </c>
      <c r="O92" s="2">
        <v>8</v>
      </c>
      <c r="P92" s="2" t="s">
        <v>277</v>
      </c>
      <c r="Q92" s="2">
        <v>4</v>
      </c>
      <c r="R92" s="2" t="s">
        <v>576</v>
      </c>
      <c r="S92" s="2">
        <v>1</v>
      </c>
    </row>
    <row r="93" spans="1:19">
      <c r="A93" s="166"/>
      <c r="B93" s="2" t="s">
        <v>1192</v>
      </c>
      <c r="C93" s="2">
        <v>92</v>
      </c>
      <c r="D93" s="2" t="s">
        <v>424</v>
      </c>
      <c r="E93" s="2">
        <v>3</v>
      </c>
      <c r="F93" s="2" t="s">
        <v>575</v>
      </c>
      <c r="G93" s="2">
        <v>1</v>
      </c>
      <c r="H93" s="2" t="s">
        <v>135</v>
      </c>
      <c r="I93" s="2">
        <v>1</v>
      </c>
      <c r="K93" s="167"/>
      <c r="L93" s="2" t="s">
        <v>2381</v>
      </c>
      <c r="M93" s="2">
        <v>110</v>
      </c>
      <c r="N93" s="2" t="s">
        <v>1753</v>
      </c>
      <c r="O93" s="2">
        <v>8</v>
      </c>
      <c r="P93" s="2" t="s">
        <v>1756</v>
      </c>
      <c r="Q93" s="2">
        <v>4</v>
      </c>
      <c r="R93" s="2" t="s">
        <v>1793</v>
      </c>
      <c r="S93" s="2">
        <v>1</v>
      </c>
    </row>
    <row r="94" spans="1:19">
      <c r="A94" s="166"/>
      <c r="B94" s="2" t="s">
        <v>1193</v>
      </c>
      <c r="C94" s="2">
        <v>95</v>
      </c>
      <c r="D94" s="2" t="s">
        <v>424</v>
      </c>
      <c r="E94" s="2">
        <v>3</v>
      </c>
      <c r="F94" s="2" t="s">
        <v>575</v>
      </c>
      <c r="G94" s="2">
        <v>2</v>
      </c>
      <c r="H94" s="2" t="s">
        <v>135</v>
      </c>
      <c r="I94" s="2">
        <v>1</v>
      </c>
      <c r="K94" s="167"/>
      <c r="L94" s="2" t="s">
        <v>2382</v>
      </c>
      <c r="M94" s="2">
        <v>120</v>
      </c>
      <c r="N94" s="2" t="s">
        <v>1754</v>
      </c>
      <c r="O94" s="2">
        <v>8</v>
      </c>
      <c r="P94" s="2" t="s">
        <v>1757</v>
      </c>
      <c r="Q94" s="2">
        <v>4</v>
      </c>
      <c r="R94" s="2" t="s">
        <v>1794</v>
      </c>
      <c r="S94" s="2">
        <v>1</v>
      </c>
    </row>
    <row r="95" spans="1:19">
      <c r="A95" s="166"/>
      <c r="B95" s="2" t="s">
        <v>2371</v>
      </c>
      <c r="C95" s="2">
        <v>110</v>
      </c>
      <c r="D95" s="2" t="s">
        <v>1790</v>
      </c>
      <c r="E95" s="2">
        <v>3</v>
      </c>
      <c r="F95" s="2" t="s">
        <v>1793</v>
      </c>
      <c r="G95" s="2">
        <v>2</v>
      </c>
      <c r="H95" s="2" t="s">
        <v>1753</v>
      </c>
      <c r="I95" s="2">
        <v>2</v>
      </c>
      <c r="K95" s="167"/>
      <c r="L95" s="2" t="s">
        <v>2383</v>
      </c>
      <c r="M95" s="2">
        <v>130</v>
      </c>
      <c r="N95" s="2" t="s">
        <v>1755</v>
      </c>
      <c r="O95" s="2">
        <v>8</v>
      </c>
      <c r="P95" s="2" t="s">
        <v>1758</v>
      </c>
      <c r="Q95" s="2">
        <v>4</v>
      </c>
      <c r="R95" s="2" t="s">
        <v>1795</v>
      </c>
      <c r="S95" s="2">
        <v>1</v>
      </c>
    </row>
    <row r="96" spans="1:19">
      <c r="A96" s="166"/>
      <c r="B96" s="2" t="s">
        <v>2372</v>
      </c>
      <c r="C96" s="2">
        <v>120</v>
      </c>
      <c r="D96" s="2" t="s">
        <v>1791</v>
      </c>
      <c r="E96" s="2">
        <v>3</v>
      </c>
      <c r="F96" s="2" t="s">
        <v>1794</v>
      </c>
      <c r="G96" s="2">
        <v>2</v>
      </c>
      <c r="H96" s="2" t="s">
        <v>1754</v>
      </c>
      <c r="I96" s="2">
        <v>2</v>
      </c>
      <c r="K96" s="167"/>
      <c r="L96" s="2" t="s">
        <v>1925</v>
      </c>
      <c r="M96" s="2">
        <v>140</v>
      </c>
      <c r="N96" s="2" t="s">
        <v>1879</v>
      </c>
      <c r="O96" s="2">
        <v>8</v>
      </c>
      <c r="P96" s="2" t="s">
        <v>1812</v>
      </c>
      <c r="Q96" s="2">
        <v>3</v>
      </c>
      <c r="R96" s="2" t="s">
        <v>1795</v>
      </c>
      <c r="S96" s="2">
        <v>1</v>
      </c>
    </row>
    <row r="97" spans="1:19">
      <c r="A97" s="166"/>
      <c r="B97" s="2" t="s">
        <v>2373</v>
      </c>
      <c r="C97" s="2">
        <v>130</v>
      </c>
      <c r="D97" s="2" t="s">
        <v>1792</v>
      </c>
      <c r="E97" s="2">
        <v>3</v>
      </c>
      <c r="F97" s="2" t="s">
        <v>1795</v>
      </c>
      <c r="G97" s="2">
        <v>2</v>
      </c>
      <c r="H97" s="2" t="s">
        <v>1755</v>
      </c>
      <c r="I97" s="2">
        <v>2</v>
      </c>
      <c r="K97" s="167"/>
      <c r="L97" s="2" t="s">
        <v>1926</v>
      </c>
      <c r="M97" s="2">
        <v>150</v>
      </c>
      <c r="N97" s="2" t="s">
        <v>1879</v>
      </c>
      <c r="O97" s="2">
        <v>8</v>
      </c>
      <c r="P97" s="2" t="s">
        <v>1812</v>
      </c>
      <c r="Q97" s="2">
        <v>3</v>
      </c>
      <c r="R97" s="2" t="s">
        <v>1823</v>
      </c>
      <c r="S97" s="2">
        <v>1</v>
      </c>
    </row>
    <row r="98" spans="1:19">
      <c r="A98" s="166"/>
      <c r="B98" s="2" t="s">
        <v>1913</v>
      </c>
      <c r="C98" s="2">
        <v>140</v>
      </c>
      <c r="D98" s="2" t="s">
        <v>1792</v>
      </c>
      <c r="E98" s="2">
        <v>4</v>
      </c>
      <c r="F98" s="2" t="s">
        <v>1795</v>
      </c>
      <c r="G98" s="2">
        <v>1</v>
      </c>
      <c r="H98" s="2" t="s">
        <v>1879</v>
      </c>
      <c r="I98" s="2">
        <v>2</v>
      </c>
      <c r="K98" s="167"/>
      <c r="L98" s="2" t="s">
        <v>1927</v>
      </c>
      <c r="M98" s="2">
        <v>160</v>
      </c>
      <c r="N98" s="2" t="s">
        <v>1881</v>
      </c>
      <c r="O98" s="2">
        <v>8</v>
      </c>
      <c r="P98" s="2" t="s">
        <v>1817</v>
      </c>
      <c r="Q98" s="2">
        <v>3</v>
      </c>
      <c r="R98" s="2" t="s">
        <v>1824</v>
      </c>
      <c r="S98" s="2">
        <v>1</v>
      </c>
    </row>
    <row r="99" spans="1:19">
      <c r="A99" s="166"/>
      <c r="B99" s="2" t="s">
        <v>1914</v>
      </c>
      <c r="C99" s="2">
        <v>150</v>
      </c>
      <c r="D99" s="2" t="s">
        <v>1792</v>
      </c>
      <c r="E99" s="2">
        <v>4</v>
      </c>
      <c r="F99" s="2" t="s">
        <v>1823</v>
      </c>
      <c r="G99" s="2">
        <v>1</v>
      </c>
      <c r="H99" s="2" t="s">
        <v>1879</v>
      </c>
      <c r="I99" s="2">
        <v>2</v>
      </c>
    </row>
    <row r="100" spans="1:19" ht="14.25" customHeight="1">
      <c r="A100" s="166"/>
      <c r="B100" s="2" t="s">
        <v>1915</v>
      </c>
      <c r="C100" s="2">
        <v>160</v>
      </c>
      <c r="D100" s="2" t="s">
        <v>1820</v>
      </c>
      <c r="E100" s="2">
        <v>4</v>
      </c>
      <c r="F100" s="2" t="s">
        <v>1824</v>
      </c>
      <c r="G100" s="2">
        <v>1</v>
      </c>
      <c r="H100" s="2" t="s">
        <v>1881</v>
      </c>
      <c r="I100" s="2">
        <v>2</v>
      </c>
      <c r="K100" s="167" t="s">
        <v>1334</v>
      </c>
      <c r="L100" s="2" t="s">
        <v>1335</v>
      </c>
      <c r="M100" s="2">
        <v>1</v>
      </c>
      <c r="N100" s="2" t="s">
        <v>387</v>
      </c>
      <c r="O100" s="2">
        <v>1</v>
      </c>
      <c r="P100" s="2" t="s">
        <v>388</v>
      </c>
      <c r="Q100" s="2">
        <v>1</v>
      </c>
      <c r="R100" s="2"/>
      <c r="S100" s="2"/>
    </row>
    <row r="101" spans="1:19">
      <c r="K101" s="167"/>
      <c r="L101" s="2" t="s">
        <v>1336</v>
      </c>
      <c r="M101" s="2">
        <v>5</v>
      </c>
      <c r="N101" s="2" t="s">
        <v>387</v>
      </c>
      <c r="O101" s="2">
        <v>1</v>
      </c>
      <c r="P101" s="2" t="s">
        <v>388</v>
      </c>
      <c r="Q101" s="2">
        <v>2</v>
      </c>
      <c r="R101" s="2"/>
      <c r="S101" s="2"/>
    </row>
    <row r="102" spans="1:19" ht="14.25" customHeight="1">
      <c r="A102" s="165" t="s">
        <v>1590</v>
      </c>
      <c r="B102" s="2" t="s">
        <v>1151</v>
      </c>
      <c r="C102" s="2">
        <v>1</v>
      </c>
      <c r="D102" s="2" t="s">
        <v>406</v>
      </c>
      <c r="E102" s="2">
        <v>2</v>
      </c>
      <c r="F102" s="2" t="s">
        <v>120</v>
      </c>
      <c r="G102" s="2">
        <v>6</v>
      </c>
      <c r="H102" s="2"/>
      <c r="I102" s="2"/>
      <c r="K102" s="167"/>
      <c r="L102" s="2" t="s">
        <v>1337</v>
      </c>
      <c r="M102" s="2">
        <v>10</v>
      </c>
      <c r="N102" s="2" t="s">
        <v>389</v>
      </c>
      <c r="O102" s="2">
        <v>2</v>
      </c>
      <c r="P102" s="2" t="s">
        <v>388</v>
      </c>
      <c r="Q102" s="2">
        <v>2</v>
      </c>
      <c r="R102" s="2"/>
      <c r="S102" s="2"/>
    </row>
    <row r="103" spans="1:19">
      <c r="A103" s="166"/>
      <c r="B103" s="2" t="s">
        <v>1152</v>
      </c>
      <c r="C103" s="2">
        <v>5</v>
      </c>
      <c r="D103" s="2" t="s">
        <v>406</v>
      </c>
      <c r="E103" s="2">
        <v>3</v>
      </c>
      <c r="F103" s="2" t="s">
        <v>120</v>
      </c>
      <c r="G103" s="2">
        <v>6</v>
      </c>
      <c r="H103" s="2"/>
      <c r="I103" s="2"/>
      <c r="K103" s="167"/>
      <c r="L103" s="2" t="s">
        <v>1338</v>
      </c>
      <c r="M103" s="2">
        <v>15</v>
      </c>
      <c r="N103" s="2" t="s">
        <v>1289</v>
      </c>
      <c r="O103" s="2">
        <v>2</v>
      </c>
      <c r="P103" s="2" t="s">
        <v>389</v>
      </c>
      <c r="Q103" s="2">
        <v>2</v>
      </c>
      <c r="R103" s="2" t="s">
        <v>388</v>
      </c>
      <c r="S103" s="2">
        <v>2</v>
      </c>
    </row>
    <row r="104" spans="1:19">
      <c r="A104" s="166"/>
      <c r="B104" s="2" t="s">
        <v>1153</v>
      </c>
      <c r="C104" s="2">
        <v>10</v>
      </c>
      <c r="D104" s="2" t="s">
        <v>406</v>
      </c>
      <c r="E104" s="2">
        <v>4</v>
      </c>
      <c r="F104" s="2" t="s">
        <v>120</v>
      </c>
      <c r="G104" s="2">
        <v>6</v>
      </c>
      <c r="H104" s="2"/>
      <c r="I104" s="2"/>
      <c r="K104" s="167"/>
      <c r="L104" s="2" t="s">
        <v>1339</v>
      </c>
      <c r="M104" s="2">
        <v>20</v>
      </c>
      <c r="N104" s="2" t="s">
        <v>1289</v>
      </c>
      <c r="O104" s="2">
        <v>2</v>
      </c>
      <c r="P104" s="2" t="s">
        <v>389</v>
      </c>
      <c r="Q104" s="2">
        <v>1</v>
      </c>
      <c r="R104" s="2" t="s">
        <v>390</v>
      </c>
      <c r="S104" s="2">
        <v>2</v>
      </c>
    </row>
    <row r="105" spans="1:19">
      <c r="A105" s="166"/>
      <c r="B105" s="2" t="s">
        <v>1154</v>
      </c>
      <c r="C105" s="2">
        <v>15</v>
      </c>
      <c r="D105" s="2" t="s">
        <v>406</v>
      </c>
      <c r="E105" s="2">
        <v>3</v>
      </c>
      <c r="F105" s="2" t="s">
        <v>121</v>
      </c>
      <c r="G105" s="2">
        <v>6</v>
      </c>
      <c r="H105" s="2"/>
      <c r="I105" s="2"/>
      <c r="K105" s="167"/>
      <c r="L105" s="2" t="s">
        <v>1340</v>
      </c>
      <c r="M105" s="2">
        <v>25</v>
      </c>
      <c r="N105" s="2" t="s">
        <v>1292</v>
      </c>
      <c r="O105" s="2">
        <v>2</v>
      </c>
      <c r="P105" s="2" t="s">
        <v>389</v>
      </c>
      <c r="Q105" s="2">
        <v>2</v>
      </c>
      <c r="R105" s="2" t="s">
        <v>390</v>
      </c>
      <c r="S105" s="2">
        <v>2</v>
      </c>
    </row>
    <row r="106" spans="1:19">
      <c r="A106" s="166"/>
      <c r="B106" s="2" t="s">
        <v>1155</v>
      </c>
      <c r="C106" s="2">
        <v>20</v>
      </c>
      <c r="D106" s="2" t="s">
        <v>407</v>
      </c>
      <c r="E106" s="2">
        <v>3</v>
      </c>
      <c r="F106" s="2" t="s">
        <v>121</v>
      </c>
      <c r="G106" s="2">
        <v>6</v>
      </c>
      <c r="H106" s="2"/>
      <c r="I106" s="2"/>
      <c r="K106" s="167"/>
      <c r="L106" s="2" t="s">
        <v>1341</v>
      </c>
      <c r="M106" s="2">
        <v>30</v>
      </c>
      <c r="N106" s="2" t="s">
        <v>1297</v>
      </c>
      <c r="O106" s="2">
        <v>2</v>
      </c>
      <c r="P106" s="2" t="s">
        <v>389</v>
      </c>
      <c r="Q106" s="2">
        <v>2</v>
      </c>
      <c r="R106" s="2" t="s">
        <v>392</v>
      </c>
      <c r="S106" s="2">
        <v>1</v>
      </c>
    </row>
    <row r="107" spans="1:19">
      <c r="A107" s="166"/>
      <c r="B107" s="2" t="s">
        <v>1156</v>
      </c>
      <c r="C107" s="2">
        <v>25</v>
      </c>
      <c r="D107" s="2" t="s">
        <v>407</v>
      </c>
      <c r="E107" s="2">
        <v>4</v>
      </c>
      <c r="F107" s="2" t="s">
        <v>121</v>
      </c>
      <c r="G107" s="2">
        <v>6</v>
      </c>
      <c r="H107" s="2"/>
      <c r="I107" s="2"/>
      <c r="K107" s="167"/>
      <c r="L107" s="2" t="s">
        <v>1342</v>
      </c>
      <c r="M107" s="2">
        <v>35</v>
      </c>
      <c r="N107" s="2" t="s">
        <v>1297</v>
      </c>
      <c r="O107" s="2">
        <v>4</v>
      </c>
      <c r="P107" s="2" t="s">
        <v>389</v>
      </c>
      <c r="Q107" s="2">
        <v>2</v>
      </c>
      <c r="R107" s="2" t="s">
        <v>393</v>
      </c>
      <c r="S107" s="2">
        <v>2</v>
      </c>
    </row>
    <row r="108" spans="1:19">
      <c r="A108" s="166"/>
      <c r="B108" s="2" t="s">
        <v>1157</v>
      </c>
      <c r="C108" s="2">
        <v>30</v>
      </c>
      <c r="D108" s="2" t="s">
        <v>407</v>
      </c>
      <c r="E108" s="2">
        <v>3</v>
      </c>
      <c r="F108" s="2" t="s">
        <v>123</v>
      </c>
      <c r="G108" s="2">
        <v>6</v>
      </c>
      <c r="H108" s="2"/>
      <c r="I108" s="2"/>
      <c r="K108" s="167"/>
      <c r="L108" s="2" t="s">
        <v>1343</v>
      </c>
      <c r="M108" s="2">
        <v>40</v>
      </c>
      <c r="N108" s="2" t="s">
        <v>269</v>
      </c>
      <c r="O108" s="2">
        <v>2</v>
      </c>
      <c r="P108" s="2" t="s">
        <v>389</v>
      </c>
      <c r="Q108" s="2">
        <v>3</v>
      </c>
      <c r="R108" s="2" t="s">
        <v>393</v>
      </c>
      <c r="S108" s="2">
        <v>3</v>
      </c>
    </row>
    <row r="109" spans="1:19">
      <c r="A109" s="166"/>
      <c r="B109" s="2" t="s">
        <v>1158</v>
      </c>
      <c r="C109" s="2">
        <v>35</v>
      </c>
      <c r="D109" s="2" t="s">
        <v>408</v>
      </c>
      <c r="E109" s="2">
        <v>3</v>
      </c>
      <c r="F109" s="2" t="s">
        <v>406</v>
      </c>
      <c r="G109" s="2">
        <v>2</v>
      </c>
      <c r="H109" s="2" t="s">
        <v>123</v>
      </c>
      <c r="I109" s="2">
        <v>8</v>
      </c>
      <c r="K109" s="167"/>
      <c r="L109" s="2" t="s">
        <v>1344</v>
      </c>
      <c r="M109" s="2">
        <v>45</v>
      </c>
      <c r="N109" s="2" t="s">
        <v>269</v>
      </c>
      <c r="O109" s="2">
        <v>2</v>
      </c>
      <c r="P109" s="2" t="s">
        <v>389</v>
      </c>
      <c r="Q109" s="2">
        <v>3</v>
      </c>
      <c r="R109" s="2" t="s">
        <v>394</v>
      </c>
      <c r="S109" s="2">
        <v>2</v>
      </c>
    </row>
    <row r="110" spans="1:19">
      <c r="A110" s="166"/>
      <c r="B110" s="2" t="s">
        <v>1159</v>
      </c>
      <c r="C110" s="2">
        <v>40</v>
      </c>
      <c r="D110" s="2" t="s">
        <v>408</v>
      </c>
      <c r="E110" s="2">
        <v>4</v>
      </c>
      <c r="F110" s="2" t="s">
        <v>407</v>
      </c>
      <c r="G110" s="2">
        <v>3</v>
      </c>
      <c r="H110" s="2" t="s">
        <v>124</v>
      </c>
      <c r="I110" s="2">
        <v>8</v>
      </c>
      <c r="K110" s="167"/>
      <c r="L110" s="2" t="s">
        <v>1345</v>
      </c>
      <c r="M110" s="2">
        <v>50</v>
      </c>
      <c r="N110" s="2" t="s">
        <v>271</v>
      </c>
      <c r="O110" s="2">
        <v>2</v>
      </c>
      <c r="P110" s="2" t="s">
        <v>389</v>
      </c>
      <c r="Q110" s="2">
        <v>3</v>
      </c>
      <c r="R110" s="2" t="s">
        <v>394</v>
      </c>
      <c r="S110" s="2">
        <v>3</v>
      </c>
    </row>
    <row r="111" spans="1:19">
      <c r="A111" s="166"/>
      <c r="B111" s="2" t="s">
        <v>1160</v>
      </c>
      <c r="C111" s="2">
        <v>45</v>
      </c>
      <c r="D111" s="2" t="s">
        <v>412</v>
      </c>
      <c r="E111" s="2">
        <v>3</v>
      </c>
      <c r="F111" s="2" t="s">
        <v>409</v>
      </c>
      <c r="G111" s="2">
        <v>2</v>
      </c>
      <c r="H111" s="2" t="s">
        <v>124</v>
      </c>
      <c r="I111" s="2">
        <v>8</v>
      </c>
      <c r="K111" s="167"/>
      <c r="L111" s="2" t="s">
        <v>1346</v>
      </c>
      <c r="M111" s="2">
        <v>55</v>
      </c>
      <c r="N111" s="2" t="s">
        <v>271</v>
      </c>
      <c r="O111" s="2">
        <v>3</v>
      </c>
      <c r="P111" s="2" t="s">
        <v>389</v>
      </c>
      <c r="Q111" s="2">
        <v>4</v>
      </c>
      <c r="R111" s="2" t="s">
        <v>395</v>
      </c>
      <c r="S111" s="2">
        <v>4</v>
      </c>
    </row>
    <row r="112" spans="1:19">
      <c r="A112" s="166"/>
      <c r="B112" s="2" t="s">
        <v>1161</v>
      </c>
      <c r="C112" s="2">
        <v>50</v>
      </c>
      <c r="D112" s="2" t="s">
        <v>412</v>
      </c>
      <c r="E112" s="2">
        <v>3</v>
      </c>
      <c r="F112" s="2" t="s">
        <v>409</v>
      </c>
      <c r="G112" s="2">
        <v>2</v>
      </c>
      <c r="H112" s="2" t="s">
        <v>126</v>
      </c>
      <c r="I112" s="2">
        <v>8</v>
      </c>
      <c r="K112" s="167"/>
      <c r="L112" s="2" t="s">
        <v>1347</v>
      </c>
      <c r="M112" s="2">
        <v>60</v>
      </c>
      <c r="N112" s="2" t="s">
        <v>273</v>
      </c>
      <c r="O112" s="2">
        <v>4</v>
      </c>
      <c r="P112" s="2" t="s">
        <v>389</v>
      </c>
      <c r="Q112" s="2">
        <v>4</v>
      </c>
      <c r="R112" s="2" t="s">
        <v>395</v>
      </c>
      <c r="S112" s="2">
        <v>5</v>
      </c>
    </row>
    <row r="113" spans="1:19">
      <c r="A113" s="166"/>
      <c r="B113" s="2" t="s">
        <v>1162</v>
      </c>
      <c r="C113" s="2">
        <v>55</v>
      </c>
      <c r="D113" s="2" t="s">
        <v>412</v>
      </c>
      <c r="E113" s="2">
        <v>3</v>
      </c>
      <c r="F113" s="2" t="s">
        <v>410</v>
      </c>
      <c r="G113" s="2">
        <v>3</v>
      </c>
      <c r="H113" s="2" t="s">
        <v>126</v>
      </c>
      <c r="I113" s="2">
        <v>8</v>
      </c>
      <c r="K113" s="167"/>
      <c r="L113" s="2" t="s">
        <v>1348</v>
      </c>
      <c r="M113" s="2">
        <v>65</v>
      </c>
      <c r="N113" s="2" t="s">
        <v>273</v>
      </c>
      <c r="O113" s="2">
        <v>4</v>
      </c>
      <c r="P113" s="2" t="s">
        <v>389</v>
      </c>
      <c r="Q113" s="2">
        <v>4</v>
      </c>
      <c r="R113" s="2" t="s">
        <v>396</v>
      </c>
      <c r="S113" s="2">
        <v>5</v>
      </c>
    </row>
    <row r="114" spans="1:19">
      <c r="A114" s="166"/>
      <c r="B114" s="2" t="s">
        <v>1163</v>
      </c>
      <c r="C114" s="2">
        <v>60</v>
      </c>
      <c r="D114" s="2" t="s">
        <v>414</v>
      </c>
      <c r="E114" s="2">
        <v>2</v>
      </c>
      <c r="F114" s="2" t="s">
        <v>413</v>
      </c>
      <c r="G114" s="2">
        <v>2</v>
      </c>
      <c r="H114" s="2" t="s">
        <v>129</v>
      </c>
      <c r="I114" s="2">
        <v>8</v>
      </c>
      <c r="K114" s="167"/>
      <c r="L114" s="2" t="s">
        <v>1349</v>
      </c>
      <c r="M114" s="2">
        <v>70</v>
      </c>
      <c r="N114" s="2" t="s">
        <v>274</v>
      </c>
      <c r="O114" s="2">
        <v>4</v>
      </c>
      <c r="P114" s="2" t="s">
        <v>389</v>
      </c>
      <c r="Q114" s="2">
        <v>4</v>
      </c>
      <c r="R114" s="2" t="s">
        <v>397</v>
      </c>
      <c r="S114" s="2">
        <v>5</v>
      </c>
    </row>
    <row r="115" spans="1:19">
      <c r="A115" s="166"/>
      <c r="B115" s="2" t="s">
        <v>1164</v>
      </c>
      <c r="C115" s="2">
        <v>65</v>
      </c>
      <c r="D115" s="2" t="s">
        <v>414</v>
      </c>
      <c r="E115" s="2">
        <v>2</v>
      </c>
      <c r="F115" s="2" t="s">
        <v>412</v>
      </c>
      <c r="G115" s="2">
        <v>3</v>
      </c>
      <c r="H115" s="2" t="s">
        <v>129</v>
      </c>
      <c r="I115" s="2">
        <v>8</v>
      </c>
      <c r="K115" s="167"/>
      <c r="L115" s="2" t="s">
        <v>1350</v>
      </c>
      <c r="M115" s="2">
        <v>75</v>
      </c>
      <c r="N115" s="2" t="s">
        <v>274</v>
      </c>
      <c r="O115" s="2">
        <v>5</v>
      </c>
      <c r="P115" s="2" t="s">
        <v>389</v>
      </c>
      <c r="Q115" s="2">
        <v>6</v>
      </c>
      <c r="R115" s="2" t="s">
        <v>398</v>
      </c>
      <c r="S115" s="2">
        <v>2</v>
      </c>
    </row>
    <row r="116" spans="1:19">
      <c r="A116" s="166"/>
      <c r="B116" s="2" t="s">
        <v>1165</v>
      </c>
      <c r="C116" s="2">
        <v>70</v>
      </c>
      <c r="D116" s="2" t="s">
        <v>415</v>
      </c>
      <c r="E116" s="2">
        <v>2</v>
      </c>
      <c r="F116" s="2" t="s">
        <v>412</v>
      </c>
      <c r="G116" s="2">
        <v>3</v>
      </c>
      <c r="H116" s="2" t="s">
        <v>130</v>
      </c>
      <c r="I116" s="2">
        <v>8</v>
      </c>
      <c r="K116" s="167"/>
      <c r="L116" s="2" t="s">
        <v>1351</v>
      </c>
      <c r="M116" s="2">
        <v>80</v>
      </c>
      <c r="N116" s="2" t="s">
        <v>140</v>
      </c>
      <c r="O116" s="2">
        <v>6</v>
      </c>
      <c r="P116" s="2" t="s">
        <v>389</v>
      </c>
      <c r="Q116" s="2">
        <v>6</v>
      </c>
      <c r="R116" s="2" t="s">
        <v>398</v>
      </c>
      <c r="S116" s="2">
        <v>2</v>
      </c>
    </row>
    <row r="117" spans="1:19">
      <c r="A117" s="166"/>
      <c r="B117" s="2" t="s">
        <v>1166</v>
      </c>
      <c r="C117" s="2">
        <v>75</v>
      </c>
      <c r="D117" s="2" t="s">
        <v>416</v>
      </c>
      <c r="E117" s="2">
        <v>2</v>
      </c>
      <c r="F117" s="2" t="s">
        <v>412</v>
      </c>
      <c r="G117" s="2">
        <v>3</v>
      </c>
      <c r="H117" s="2" t="s">
        <v>130</v>
      </c>
      <c r="I117" s="2">
        <v>8</v>
      </c>
      <c r="K117" s="167"/>
      <c r="L117" s="162" t="s">
        <v>1352</v>
      </c>
      <c r="M117" s="162"/>
      <c r="N117" s="162"/>
      <c r="O117" s="162"/>
      <c r="P117" s="162"/>
      <c r="Q117" s="162"/>
      <c r="R117" s="162"/>
      <c r="S117" s="162"/>
    </row>
    <row r="118" spans="1:19">
      <c r="A118" s="166"/>
      <c r="B118" s="2" t="s">
        <v>1167</v>
      </c>
      <c r="C118" s="2">
        <v>80</v>
      </c>
      <c r="D118" s="2" t="s">
        <v>417</v>
      </c>
      <c r="E118" s="2">
        <v>2</v>
      </c>
      <c r="F118" s="2" t="s">
        <v>412</v>
      </c>
      <c r="G118" s="2">
        <v>3</v>
      </c>
      <c r="H118" s="2" t="s">
        <v>130</v>
      </c>
      <c r="I118" s="2">
        <v>8</v>
      </c>
      <c r="K118" s="167"/>
      <c r="L118" s="2" t="s">
        <v>1353</v>
      </c>
      <c r="M118" s="2">
        <v>30</v>
      </c>
      <c r="N118" s="2" t="s">
        <v>1289</v>
      </c>
      <c r="O118" s="2">
        <v>2</v>
      </c>
      <c r="P118" s="2" t="s">
        <v>388</v>
      </c>
      <c r="Q118" s="2">
        <v>1</v>
      </c>
      <c r="R118" s="2" t="s">
        <v>426</v>
      </c>
      <c r="S118" s="2">
        <v>1</v>
      </c>
    </row>
    <row r="119" spans="1:19">
      <c r="A119" s="166"/>
      <c r="B119" s="162" t="s">
        <v>1168</v>
      </c>
      <c r="C119" s="162"/>
      <c r="D119" s="162"/>
      <c r="E119" s="162"/>
      <c r="F119" s="162"/>
      <c r="G119" s="162"/>
      <c r="H119" s="162"/>
      <c r="I119" s="162"/>
      <c r="K119" s="167"/>
      <c r="L119" s="2" t="s">
        <v>1354</v>
      </c>
      <c r="M119" s="2">
        <v>34</v>
      </c>
      <c r="N119" s="2" t="s">
        <v>1289</v>
      </c>
      <c r="O119" s="2">
        <v>4</v>
      </c>
      <c r="P119" s="2" t="s">
        <v>388</v>
      </c>
      <c r="Q119" s="2">
        <v>2</v>
      </c>
      <c r="R119" s="2" t="s">
        <v>427</v>
      </c>
      <c r="S119" s="2">
        <v>1</v>
      </c>
    </row>
    <row r="120" spans="1:19">
      <c r="A120" s="166"/>
      <c r="B120" s="2" t="s">
        <v>1169</v>
      </c>
      <c r="C120" s="2">
        <v>32</v>
      </c>
      <c r="D120" s="2" t="s">
        <v>412</v>
      </c>
      <c r="E120" s="2">
        <v>2</v>
      </c>
      <c r="F120" s="2" t="s">
        <v>429</v>
      </c>
      <c r="G120" s="2">
        <v>1</v>
      </c>
      <c r="H120" s="2" t="s">
        <v>121</v>
      </c>
      <c r="I120" s="2">
        <v>8</v>
      </c>
      <c r="K120" s="167"/>
      <c r="L120" s="2" t="s">
        <v>1355</v>
      </c>
      <c r="M120" s="2">
        <v>38</v>
      </c>
      <c r="N120" s="2" t="s">
        <v>1289</v>
      </c>
      <c r="O120" s="2">
        <v>6</v>
      </c>
      <c r="P120" s="2" t="s">
        <v>388</v>
      </c>
      <c r="Q120" s="2">
        <v>3</v>
      </c>
      <c r="R120" s="2" t="s">
        <v>429</v>
      </c>
      <c r="S120" s="2">
        <v>1</v>
      </c>
    </row>
    <row r="121" spans="1:19">
      <c r="A121" s="166"/>
      <c r="B121" s="2" t="s">
        <v>1170</v>
      </c>
      <c r="C121" s="2">
        <v>38</v>
      </c>
      <c r="D121" s="2" t="s">
        <v>412</v>
      </c>
      <c r="E121" s="2">
        <v>3</v>
      </c>
      <c r="F121" s="2" t="s">
        <v>430</v>
      </c>
      <c r="G121" s="2">
        <v>1</v>
      </c>
      <c r="H121" s="2" t="s">
        <v>121</v>
      </c>
      <c r="I121" s="2">
        <v>8</v>
      </c>
      <c r="K121" s="167"/>
      <c r="L121" s="2" t="s">
        <v>1356</v>
      </c>
      <c r="M121" s="2">
        <v>42</v>
      </c>
      <c r="N121" s="2" t="s">
        <v>1292</v>
      </c>
      <c r="O121" s="2">
        <v>2</v>
      </c>
      <c r="P121" s="2" t="s">
        <v>390</v>
      </c>
      <c r="Q121" s="2">
        <v>4</v>
      </c>
      <c r="R121" s="2" t="s">
        <v>430</v>
      </c>
      <c r="S121" s="2">
        <v>1</v>
      </c>
    </row>
    <row r="122" spans="1:19">
      <c r="A122" s="166"/>
      <c r="B122" s="2" t="s">
        <v>1171</v>
      </c>
      <c r="C122" s="2">
        <v>44</v>
      </c>
      <c r="D122" s="2" t="s">
        <v>412</v>
      </c>
      <c r="E122" s="2">
        <v>3</v>
      </c>
      <c r="F122" s="2" t="s">
        <v>431</v>
      </c>
      <c r="G122" s="2">
        <v>1</v>
      </c>
      <c r="H122" s="2" t="s">
        <v>123</v>
      </c>
      <c r="I122" s="2">
        <v>8</v>
      </c>
      <c r="K122" s="167"/>
      <c r="L122" s="2" t="s">
        <v>1357</v>
      </c>
      <c r="M122" s="2">
        <v>46</v>
      </c>
      <c r="N122" s="2" t="s">
        <v>1292</v>
      </c>
      <c r="O122" s="2">
        <v>4</v>
      </c>
      <c r="P122" s="2" t="s">
        <v>390</v>
      </c>
      <c r="Q122" s="2">
        <v>6</v>
      </c>
      <c r="R122" s="2" t="s">
        <v>431</v>
      </c>
      <c r="S122" s="2">
        <v>1</v>
      </c>
    </row>
    <row r="123" spans="1:19">
      <c r="A123" s="166"/>
      <c r="B123" s="2" t="s">
        <v>1172</v>
      </c>
      <c r="C123" s="2">
        <v>50</v>
      </c>
      <c r="D123" s="2" t="s">
        <v>412</v>
      </c>
      <c r="E123" s="2">
        <v>4</v>
      </c>
      <c r="F123" s="2" t="s">
        <v>432</v>
      </c>
      <c r="G123" s="2">
        <v>1</v>
      </c>
      <c r="H123" s="2" t="s">
        <v>123</v>
      </c>
      <c r="I123" s="2">
        <v>8</v>
      </c>
      <c r="K123" s="167"/>
      <c r="L123" s="2" t="s">
        <v>1358</v>
      </c>
      <c r="M123" s="2">
        <v>50</v>
      </c>
      <c r="N123" s="2" t="s">
        <v>1292</v>
      </c>
      <c r="O123" s="2">
        <v>4</v>
      </c>
      <c r="P123" s="2" t="s">
        <v>392</v>
      </c>
      <c r="Q123" s="2">
        <v>3</v>
      </c>
      <c r="R123" s="2" t="s">
        <v>432</v>
      </c>
      <c r="S123" s="2">
        <v>1</v>
      </c>
    </row>
    <row r="124" spans="1:19">
      <c r="A124" s="166"/>
      <c r="B124" s="2" t="s">
        <v>1173</v>
      </c>
      <c r="C124" s="2">
        <v>56</v>
      </c>
      <c r="D124" s="2" t="s">
        <v>412</v>
      </c>
      <c r="E124" s="2">
        <v>4</v>
      </c>
      <c r="F124" s="2" t="s">
        <v>433</v>
      </c>
      <c r="G124" s="2">
        <v>1</v>
      </c>
      <c r="H124" s="2" t="s">
        <v>124</v>
      </c>
      <c r="I124" s="2">
        <v>8</v>
      </c>
      <c r="K124" s="167"/>
      <c r="L124" s="2" t="s">
        <v>1359</v>
      </c>
      <c r="M124" s="2">
        <v>50</v>
      </c>
      <c r="N124" s="2" t="s">
        <v>1297</v>
      </c>
      <c r="O124" s="2">
        <v>2</v>
      </c>
      <c r="P124" s="2" t="s">
        <v>392</v>
      </c>
      <c r="Q124" s="2">
        <v>4</v>
      </c>
      <c r="R124" s="2" t="s">
        <v>433</v>
      </c>
      <c r="S124" s="2">
        <v>1</v>
      </c>
    </row>
    <row r="125" spans="1:19">
      <c r="A125" s="166"/>
      <c r="B125" s="2" t="s">
        <v>1174</v>
      </c>
      <c r="C125" s="2">
        <v>60</v>
      </c>
      <c r="D125" s="2" t="s">
        <v>412</v>
      </c>
      <c r="E125" s="2">
        <v>4</v>
      </c>
      <c r="F125" s="2" t="s">
        <v>434</v>
      </c>
      <c r="G125" s="2">
        <v>1</v>
      </c>
      <c r="H125" s="2" t="s">
        <v>124</v>
      </c>
      <c r="I125" s="2">
        <v>8</v>
      </c>
      <c r="K125" s="167"/>
      <c r="L125" s="2" t="s">
        <v>1360</v>
      </c>
      <c r="M125" s="2">
        <v>52</v>
      </c>
      <c r="N125" s="2" t="s">
        <v>1297</v>
      </c>
      <c r="O125" s="2">
        <v>4</v>
      </c>
      <c r="P125" s="2" t="s">
        <v>392</v>
      </c>
      <c r="Q125" s="2">
        <v>4</v>
      </c>
      <c r="R125" s="2" t="s">
        <v>434</v>
      </c>
      <c r="S125" s="2">
        <v>1</v>
      </c>
    </row>
    <row r="126" spans="1:19">
      <c r="A126" s="166"/>
      <c r="B126" s="2" t="s">
        <v>1175</v>
      </c>
      <c r="C126" s="2">
        <v>66</v>
      </c>
      <c r="D126" s="2" t="s">
        <v>414</v>
      </c>
      <c r="E126" s="2">
        <v>3</v>
      </c>
      <c r="F126" s="2" t="s">
        <v>442</v>
      </c>
      <c r="G126" s="2">
        <v>1</v>
      </c>
      <c r="H126" s="2" t="s">
        <v>126</v>
      </c>
      <c r="I126" s="2">
        <v>8</v>
      </c>
      <c r="K126" s="167"/>
      <c r="L126" s="2" t="s">
        <v>1361</v>
      </c>
      <c r="M126" s="2">
        <v>54</v>
      </c>
      <c r="N126" s="2" t="s">
        <v>1297</v>
      </c>
      <c r="O126" s="2">
        <v>6</v>
      </c>
      <c r="P126" s="2" t="s">
        <v>393</v>
      </c>
      <c r="Q126" s="2">
        <v>6</v>
      </c>
      <c r="R126" s="2" t="s">
        <v>435</v>
      </c>
      <c r="S126" s="2">
        <v>2</v>
      </c>
    </row>
    <row r="127" spans="1:19">
      <c r="A127" s="166"/>
      <c r="B127" s="2" t="s">
        <v>1176</v>
      </c>
      <c r="C127" s="2">
        <v>70</v>
      </c>
      <c r="D127" s="2" t="s">
        <v>414</v>
      </c>
      <c r="E127" s="2">
        <v>3</v>
      </c>
      <c r="F127" s="2" t="s">
        <v>444</v>
      </c>
      <c r="G127" s="2">
        <v>1</v>
      </c>
      <c r="H127" s="2" t="s">
        <v>126</v>
      </c>
      <c r="I127" s="2">
        <v>8</v>
      </c>
      <c r="K127" s="167"/>
      <c r="L127" s="2" t="s">
        <v>1362</v>
      </c>
      <c r="M127" s="2">
        <v>54</v>
      </c>
      <c r="N127" s="2" t="s">
        <v>269</v>
      </c>
      <c r="O127" s="2">
        <v>6</v>
      </c>
      <c r="P127" s="2" t="s">
        <v>393</v>
      </c>
      <c r="Q127" s="2">
        <v>6</v>
      </c>
      <c r="R127" s="2" t="s">
        <v>436</v>
      </c>
      <c r="S127" s="2">
        <v>2</v>
      </c>
    </row>
    <row r="128" spans="1:19">
      <c r="A128" s="166"/>
      <c r="B128" s="2" t="s">
        <v>1177</v>
      </c>
      <c r="C128" s="2">
        <v>74</v>
      </c>
      <c r="D128" s="2" t="s">
        <v>415</v>
      </c>
      <c r="E128" s="2">
        <v>2</v>
      </c>
      <c r="F128" s="2" t="s">
        <v>443</v>
      </c>
      <c r="G128" s="2">
        <v>1</v>
      </c>
      <c r="H128" s="2" t="s">
        <v>129</v>
      </c>
      <c r="I128" s="2">
        <v>8</v>
      </c>
      <c r="K128" s="167"/>
      <c r="L128" s="2" t="s">
        <v>1363</v>
      </c>
      <c r="M128" s="2">
        <v>56</v>
      </c>
      <c r="N128" s="2" t="s">
        <v>269</v>
      </c>
      <c r="O128" s="2">
        <v>4</v>
      </c>
      <c r="P128" s="2" t="s">
        <v>394</v>
      </c>
      <c r="Q128" s="2">
        <v>3</v>
      </c>
      <c r="R128" s="2" t="s">
        <v>437</v>
      </c>
      <c r="S128" s="2">
        <v>2</v>
      </c>
    </row>
    <row r="129" spans="1:19">
      <c r="A129" s="166"/>
      <c r="B129" s="2" t="s">
        <v>1178</v>
      </c>
      <c r="C129" s="2">
        <v>78</v>
      </c>
      <c r="D129" s="2" t="s">
        <v>415</v>
      </c>
      <c r="E129" s="2">
        <v>2</v>
      </c>
      <c r="F129" s="2" t="s">
        <v>445</v>
      </c>
      <c r="G129" s="2">
        <v>1</v>
      </c>
      <c r="H129" s="2" t="s">
        <v>130</v>
      </c>
      <c r="I129" s="2">
        <v>8</v>
      </c>
      <c r="K129" s="167"/>
      <c r="L129" s="2" t="s">
        <v>1364</v>
      </c>
      <c r="M129" s="2">
        <v>58</v>
      </c>
      <c r="N129" s="2" t="s">
        <v>271</v>
      </c>
      <c r="O129" s="2">
        <v>4</v>
      </c>
      <c r="P129" s="2" t="s">
        <v>395</v>
      </c>
      <c r="Q129" s="2">
        <v>3</v>
      </c>
      <c r="R129" s="2" t="s">
        <v>439</v>
      </c>
      <c r="S129" s="2">
        <v>2</v>
      </c>
    </row>
    <row r="130" spans="1:19">
      <c r="A130" s="166"/>
      <c r="B130" s="2" t="s">
        <v>1179</v>
      </c>
      <c r="C130" s="2">
        <v>84</v>
      </c>
      <c r="D130" s="2" t="s">
        <v>416</v>
      </c>
      <c r="E130" s="2">
        <v>2</v>
      </c>
      <c r="F130" s="2" t="s">
        <v>446</v>
      </c>
      <c r="G130" s="2">
        <v>1</v>
      </c>
      <c r="H130" s="2" t="s">
        <v>130</v>
      </c>
      <c r="I130" s="2">
        <v>8</v>
      </c>
      <c r="K130" s="167"/>
      <c r="L130" s="2" t="s">
        <v>1365</v>
      </c>
      <c r="M130" s="2">
        <v>58</v>
      </c>
      <c r="N130" s="2" t="s">
        <v>269</v>
      </c>
      <c r="O130" s="2">
        <v>4</v>
      </c>
      <c r="P130" s="2" t="s">
        <v>394</v>
      </c>
      <c r="Q130" s="2">
        <v>3</v>
      </c>
      <c r="R130" s="2" t="s">
        <v>438</v>
      </c>
      <c r="S130" s="2">
        <v>2</v>
      </c>
    </row>
    <row r="131" spans="1:19">
      <c r="A131" s="166"/>
      <c r="B131" s="2" t="s">
        <v>1180</v>
      </c>
      <c r="C131" s="2">
        <v>50</v>
      </c>
      <c r="D131" s="2" t="s">
        <v>412</v>
      </c>
      <c r="E131" s="2">
        <v>2</v>
      </c>
      <c r="F131" s="2" t="s">
        <v>435</v>
      </c>
      <c r="G131" s="2">
        <v>1</v>
      </c>
      <c r="H131" s="2" t="s">
        <v>124</v>
      </c>
      <c r="I131" s="2">
        <v>8</v>
      </c>
      <c r="K131" s="167"/>
      <c r="L131" s="2" t="s">
        <v>1366</v>
      </c>
      <c r="M131" s="2">
        <v>60</v>
      </c>
      <c r="N131" s="2" t="s">
        <v>271</v>
      </c>
      <c r="O131" s="2">
        <v>4</v>
      </c>
      <c r="P131" s="2" t="s">
        <v>395</v>
      </c>
      <c r="Q131" s="2">
        <v>3</v>
      </c>
      <c r="R131" s="2" t="s">
        <v>440</v>
      </c>
      <c r="S131" s="2">
        <v>2</v>
      </c>
    </row>
    <row r="132" spans="1:19">
      <c r="A132" s="166"/>
      <c r="B132" s="2" t="s">
        <v>1181</v>
      </c>
      <c r="C132" s="2">
        <v>52</v>
      </c>
      <c r="D132" s="2" t="s">
        <v>412</v>
      </c>
      <c r="E132" s="2">
        <v>2</v>
      </c>
      <c r="F132" s="2" t="s">
        <v>436</v>
      </c>
      <c r="G132" s="2">
        <v>1</v>
      </c>
      <c r="H132" s="2" t="s">
        <v>124</v>
      </c>
      <c r="I132" s="2">
        <v>8</v>
      </c>
      <c r="K132" s="167"/>
      <c r="L132" s="2" t="s">
        <v>1367</v>
      </c>
      <c r="M132" s="2">
        <v>62</v>
      </c>
      <c r="N132" s="2" t="s">
        <v>273</v>
      </c>
      <c r="O132" s="2">
        <v>4</v>
      </c>
      <c r="P132" s="2" t="s">
        <v>396</v>
      </c>
      <c r="Q132" s="2">
        <v>2</v>
      </c>
      <c r="R132" s="2" t="s">
        <v>441</v>
      </c>
      <c r="S132" s="2">
        <v>2</v>
      </c>
    </row>
    <row r="133" spans="1:19">
      <c r="A133" s="166"/>
      <c r="B133" s="2" t="s">
        <v>1182</v>
      </c>
      <c r="C133" s="2">
        <v>54</v>
      </c>
      <c r="D133" s="2" t="s">
        <v>412</v>
      </c>
      <c r="E133" s="2">
        <v>2</v>
      </c>
      <c r="F133" s="2" t="s">
        <v>437</v>
      </c>
      <c r="G133" s="2">
        <v>1</v>
      </c>
      <c r="H133" s="2" t="s">
        <v>126</v>
      </c>
      <c r="I133" s="2">
        <v>8</v>
      </c>
      <c r="K133" s="167"/>
      <c r="L133" s="2" t="s">
        <v>1368</v>
      </c>
      <c r="M133" s="2">
        <v>62</v>
      </c>
      <c r="N133" s="2" t="s">
        <v>273</v>
      </c>
      <c r="O133" s="2">
        <v>6</v>
      </c>
      <c r="P133" s="2" t="s">
        <v>396</v>
      </c>
      <c r="Q133" s="2">
        <v>3</v>
      </c>
      <c r="R133" s="2" t="s">
        <v>442</v>
      </c>
      <c r="S133" s="2">
        <v>1</v>
      </c>
    </row>
    <row r="134" spans="1:19">
      <c r="A134" s="166"/>
      <c r="B134" s="2" t="s">
        <v>1183</v>
      </c>
      <c r="C134" s="2">
        <v>56</v>
      </c>
      <c r="D134" s="2" t="s">
        <v>414</v>
      </c>
      <c r="E134" s="2">
        <v>2</v>
      </c>
      <c r="F134" s="2" t="s">
        <v>438</v>
      </c>
      <c r="G134" s="2">
        <v>1</v>
      </c>
      <c r="H134" s="2" t="s">
        <v>129</v>
      </c>
      <c r="I134" s="2">
        <v>8</v>
      </c>
      <c r="K134" s="167"/>
      <c r="L134" s="2" t="s">
        <v>1369</v>
      </c>
      <c r="M134" s="2">
        <v>66</v>
      </c>
      <c r="N134" s="2" t="s">
        <v>274</v>
      </c>
      <c r="O134" s="2">
        <v>4</v>
      </c>
      <c r="P134" s="2" t="s">
        <v>397</v>
      </c>
      <c r="Q134" s="2">
        <v>4</v>
      </c>
      <c r="R134" s="2" t="s">
        <v>443</v>
      </c>
      <c r="S134" s="2">
        <v>1</v>
      </c>
    </row>
    <row r="135" spans="1:19">
      <c r="A135" s="166"/>
      <c r="B135" s="2" t="s">
        <v>1184</v>
      </c>
      <c r="C135" s="2">
        <v>58</v>
      </c>
      <c r="D135" s="2" t="s">
        <v>414</v>
      </c>
      <c r="E135" s="2">
        <v>2</v>
      </c>
      <c r="F135" s="2" t="s">
        <v>439</v>
      </c>
      <c r="G135" s="2">
        <v>1</v>
      </c>
      <c r="H135" s="2" t="s">
        <v>130</v>
      </c>
      <c r="I135" s="2">
        <v>8</v>
      </c>
      <c r="K135" s="167"/>
      <c r="L135" s="2" t="s">
        <v>1370</v>
      </c>
      <c r="M135" s="2">
        <v>70</v>
      </c>
      <c r="N135" s="2" t="s">
        <v>274</v>
      </c>
      <c r="O135" s="2">
        <v>6</v>
      </c>
      <c r="P135" s="2" t="s">
        <v>397</v>
      </c>
      <c r="Q135" s="2">
        <v>4</v>
      </c>
      <c r="R135" s="2" t="s">
        <v>444</v>
      </c>
      <c r="S135" s="2">
        <v>1</v>
      </c>
    </row>
    <row r="136" spans="1:19">
      <c r="A136" s="166"/>
      <c r="B136" s="2" t="s">
        <v>1185</v>
      </c>
      <c r="C136" s="2">
        <v>60</v>
      </c>
      <c r="D136" s="2" t="s">
        <v>415</v>
      </c>
      <c r="E136" s="2">
        <v>3</v>
      </c>
      <c r="F136" s="2" t="s">
        <v>440</v>
      </c>
      <c r="G136" s="2">
        <v>1</v>
      </c>
      <c r="H136" s="2" t="s">
        <v>1106</v>
      </c>
      <c r="I136" s="2">
        <v>1</v>
      </c>
      <c r="K136" s="167"/>
      <c r="L136" s="2" t="s">
        <v>1371</v>
      </c>
      <c r="M136" s="2">
        <v>77</v>
      </c>
      <c r="N136" s="2" t="s">
        <v>140</v>
      </c>
      <c r="O136" s="2">
        <v>4</v>
      </c>
      <c r="P136" s="2" t="s">
        <v>398</v>
      </c>
      <c r="Q136" s="2">
        <v>2</v>
      </c>
      <c r="R136" s="2" t="s">
        <v>445</v>
      </c>
      <c r="S136" s="2">
        <v>1</v>
      </c>
    </row>
    <row r="137" spans="1:19">
      <c r="A137" s="166"/>
      <c r="B137" s="2" t="s">
        <v>1186</v>
      </c>
      <c r="C137" s="2">
        <v>62</v>
      </c>
      <c r="D137" s="2" t="s">
        <v>415</v>
      </c>
      <c r="E137" s="2">
        <v>4</v>
      </c>
      <c r="F137" s="2" t="s">
        <v>441</v>
      </c>
      <c r="G137" s="2">
        <v>1</v>
      </c>
      <c r="H137" s="2" t="s">
        <v>1106</v>
      </c>
      <c r="I137" s="2">
        <v>1</v>
      </c>
      <c r="K137" s="167"/>
      <c r="L137" s="2" t="s">
        <v>1372</v>
      </c>
      <c r="M137" s="2">
        <v>84</v>
      </c>
      <c r="N137" s="2" t="s">
        <v>140</v>
      </c>
      <c r="O137" s="2">
        <v>6</v>
      </c>
      <c r="P137" s="2" t="s">
        <v>398</v>
      </c>
      <c r="Q137" s="2">
        <v>2</v>
      </c>
      <c r="R137" s="2" t="s">
        <v>446</v>
      </c>
      <c r="S137" s="2">
        <v>1</v>
      </c>
    </row>
    <row r="138" spans="1:19">
      <c r="A138" s="166"/>
      <c r="B138" s="2" t="s">
        <v>1187</v>
      </c>
      <c r="C138" s="2">
        <v>50</v>
      </c>
      <c r="D138" s="2" t="s">
        <v>418</v>
      </c>
      <c r="E138" s="2">
        <v>6</v>
      </c>
      <c r="F138" s="2" t="s">
        <v>447</v>
      </c>
      <c r="G138" s="2">
        <v>1</v>
      </c>
      <c r="H138" s="2" t="s">
        <v>132</v>
      </c>
      <c r="I138" s="2">
        <v>10</v>
      </c>
      <c r="K138" s="167"/>
      <c r="L138" s="2" t="s">
        <v>1373</v>
      </c>
      <c r="M138" s="2">
        <v>50</v>
      </c>
      <c r="N138" s="2" t="s">
        <v>141</v>
      </c>
      <c r="O138" s="2">
        <v>5</v>
      </c>
      <c r="P138" s="2" t="s">
        <v>399</v>
      </c>
      <c r="Q138" s="2">
        <v>5</v>
      </c>
      <c r="R138" s="2" t="s">
        <v>447</v>
      </c>
      <c r="S138" s="2">
        <v>2</v>
      </c>
    </row>
    <row r="139" spans="1:19">
      <c r="A139" s="166"/>
      <c r="B139" s="2" t="s">
        <v>1188</v>
      </c>
      <c r="C139" s="2">
        <v>60</v>
      </c>
      <c r="D139" s="2" t="s">
        <v>1107</v>
      </c>
      <c r="E139" s="2">
        <v>6</v>
      </c>
      <c r="F139" s="2" t="s">
        <v>448</v>
      </c>
      <c r="G139" s="2">
        <v>2</v>
      </c>
      <c r="H139" s="2" t="s">
        <v>133</v>
      </c>
      <c r="I139" s="2">
        <v>10</v>
      </c>
      <c r="K139" s="167"/>
      <c r="L139" s="2" t="s">
        <v>1374</v>
      </c>
      <c r="M139" s="2">
        <v>60</v>
      </c>
      <c r="N139" s="2" t="s">
        <v>142</v>
      </c>
      <c r="O139" s="2">
        <v>8</v>
      </c>
      <c r="P139" s="2" t="s">
        <v>400</v>
      </c>
      <c r="Q139" s="2">
        <v>6</v>
      </c>
      <c r="R139" s="2" t="s">
        <v>448</v>
      </c>
      <c r="S139" s="2">
        <v>2</v>
      </c>
    </row>
    <row r="140" spans="1:19">
      <c r="A140" s="166"/>
      <c r="B140" s="2" t="s">
        <v>1189</v>
      </c>
      <c r="C140" s="2">
        <v>75</v>
      </c>
      <c r="D140" s="2" t="s">
        <v>421</v>
      </c>
      <c r="E140" s="2">
        <v>6</v>
      </c>
      <c r="F140" s="2" t="s">
        <v>449</v>
      </c>
      <c r="G140" s="2">
        <v>4</v>
      </c>
      <c r="H140" s="2" t="s">
        <v>134</v>
      </c>
      <c r="I140" s="2">
        <v>10</v>
      </c>
      <c r="K140" s="167"/>
      <c r="L140" s="2" t="s">
        <v>1375</v>
      </c>
      <c r="M140" s="2">
        <v>75</v>
      </c>
      <c r="N140" s="2" t="s">
        <v>143</v>
      </c>
      <c r="O140" s="2">
        <v>5</v>
      </c>
      <c r="P140" s="2" t="s">
        <v>401</v>
      </c>
      <c r="Q140" s="2">
        <v>7</v>
      </c>
      <c r="R140" s="2" t="s">
        <v>449</v>
      </c>
      <c r="S140" s="2">
        <v>3</v>
      </c>
    </row>
    <row r="141" spans="1:19">
      <c r="A141" s="166"/>
      <c r="B141" s="2" t="s">
        <v>1194</v>
      </c>
      <c r="C141" s="2">
        <v>86</v>
      </c>
      <c r="D141" s="2" t="s">
        <v>405</v>
      </c>
      <c r="E141" s="2">
        <v>3</v>
      </c>
      <c r="F141" s="2" t="s">
        <v>575</v>
      </c>
      <c r="G141" s="2">
        <v>1</v>
      </c>
      <c r="H141" s="2" t="s">
        <v>136</v>
      </c>
      <c r="I141" s="2">
        <v>1</v>
      </c>
      <c r="K141" s="167"/>
      <c r="L141" s="2" t="s">
        <v>1376</v>
      </c>
      <c r="M141" s="2">
        <v>90</v>
      </c>
      <c r="N141" s="2" t="s">
        <v>276</v>
      </c>
      <c r="O141" s="2">
        <v>3</v>
      </c>
      <c r="P141" s="2" t="s">
        <v>403</v>
      </c>
      <c r="Q141" s="2">
        <v>2</v>
      </c>
      <c r="R141" s="2" t="s">
        <v>1066</v>
      </c>
      <c r="S141" s="2">
        <v>1</v>
      </c>
    </row>
    <row r="142" spans="1:19">
      <c r="A142" s="166"/>
      <c r="B142" s="2" t="s">
        <v>1195</v>
      </c>
      <c r="C142" s="2">
        <v>89</v>
      </c>
      <c r="D142" s="2" t="s">
        <v>423</v>
      </c>
      <c r="E142" s="2">
        <v>3</v>
      </c>
      <c r="F142" s="2" t="s">
        <v>576</v>
      </c>
      <c r="G142" s="2">
        <v>1</v>
      </c>
      <c r="H142" s="2" t="s">
        <v>136</v>
      </c>
      <c r="I142" s="2">
        <v>1</v>
      </c>
      <c r="K142" s="167"/>
      <c r="L142" s="2" t="s">
        <v>1377</v>
      </c>
      <c r="M142" s="2">
        <v>95</v>
      </c>
      <c r="N142" s="2" t="s">
        <v>277</v>
      </c>
      <c r="O142" s="2">
        <v>3</v>
      </c>
      <c r="P142" s="2" t="s">
        <v>403</v>
      </c>
      <c r="Q142" s="2">
        <v>2</v>
      </c>
      <c r="R142" s="2" t="s">
        <v>1066</v>
      </c>
      <c r="S142" s="2">
        <v>1</v>
      </c>
    </row>
    <row r="143" spans="1:19">
      <c r="A143" s="166"/>
      <c r="B143" s="2" t="s">
        <v>1196</v>
      </c>
      <c r="C143" s="2">
        <v>92</v>
      </c>
      <c r="D143" s="2" t="s">
        <v>424</v>
      </c>
      <c r="E143" s="2">
        <v>3</v>
      </c>
      <c r="F143" s="2" t="s">
        <v>1066</v>
      </c>
      <c r="G143" s="2">
        <v>1</v>
      </c>
      <c r="H143" s="2" t="s">
        <v>136</v>
      </c>
      <c r="I143" s="2">
        <v>1</v>
      </c>
      <c r="K143" s="167"/>
      <c r="L143" s="2" t="s">
        <v>2400</v>
      </c>
      <c r="M143" s="2">
        <v>110</v>
      </c>
      <c r="N143" s="2" t="s">
        <v>1756</v>
      </c>
      <c r="O143" s="2">
        <v>4</v>
      </c>
      <c r="P143" s="2" t="s">
        <v>1787</v>
      </c>
      <c r="Q143" s="2">
        <v>1</v>
      </c>
      <c r="R143" s="2" t="s">
        <v>1793</v>
      </c>
      <c r="S143" s="2">
        <v>1</v>
      </c>
    </row>
    <row r="144" spans="1:19">
      <c r="A144" s="166"/>
      <c r="B144" s="2" t="s">
        <v>1197</v>
      </c>
      <c r="C144" s="2">
        <v>95</v>
      </c>
      <c r="D144" s="2" t="s">
        <v>424</v>
      </c>
      <c r="E144" s="2">
        <v>3</v>
      </c>
      <c r="F144" s="2" t="s">
        <v>1066</v>
      </c>
      <c r="G144" s="2">
        <v>2</v>
      </c>
      <c r="H144" s="2" t="s">
        <v>136</v>
      </c>
      <c r="I144" s="2">
        <v>1</v>
      </c>
      <c r="K144" s="167"/>
      <c r="L144" s="2" t="s">
        <v>2401</v>
      </c>
      <c r="M144" s="2">
        <v>120</v>
      </c>
      <c r="N144" s="2" t="s">
        <v>1757</v>
      </c>
      <c r="O144" s="2">
        <v>4</v>
      </c>
      <c r="P144" s="2" t="s">
        <v>2402</v>
      </c>
      <c r="Q144" s="2">
        <v>1</v>
      </c>
      <c r="R144" s="2" t="s">
        <v>1794</v>
      </c>
      <c r="S144" s="2">
        <v>1</v>
      </c>
    </row>
    <row r="145" spans="1:19">
      <c r="A145" s="166"/>
      <c r="B145" s="2" t="s">
        <v>2374</v>
      </c>
      <c r="C145" s="2">
        <v>110</v>
      </c>
      <c r="D145" s="2" t="s">
        <v>1790</v>
      </c>
      <c r="E145" s="2">
        <v>3</v>
      </c>
      <c r="F145" s="2" t="s">
        <v>1793</v>
      </c>
      <c r="G145" s="2">
        <v>2</v>
      </c>
      <c r="H145" s="2" t="s">
        <v>1753</v>
      </c>
      <c r="I145" s="2">
        <v>1</v>
      </c>
      <c r="K145" s="167"/>
      <c r="L145" s="2" t="s">
        <v>2380</v>
      </c>
      <c r="M145" s="2">
        <v>130</v>
      </c>
      <c r="N145" s="2" t="s">
        <v>1758</v>
      </c>
      <c r="O145" s="2">
        <v>4</v>
      </c>
      <c r="P145" s="2" t="s">
        <v>1789</v>
      </c>
      <c r="Q145" s="2">
        <v>1</v>
      </c>
      <c r="R145" s="2" t="s">
        <v>1795</v>
      </c>
      <c r="S145" s="2">
        <v>1</v>
      </c>
    </row>
    <row r="146" spans="1:19">
      <c r="A146" s="166"/>
      <c r="B146" s="2" t="s">
        <v>2375</v>
      </c>
      <c r="C146" s="2">
        <v>120</v>
      </c>
      <c r="D146" s="2" t="s">
        <v>1791</v>
      </c>
      <c r="E146" s="2">
        <v>3</v>
      </c>
      <c r="F146" s="2" t="s">
        <v>1794</v>
      </c>
      <c r="G146" s="2">
        <v>2</v>
      </c>
      <c r="H146" s="2" t="s">
        <v>1754</v>
      </c>
      <c r="I146" s="2">
        <v>1</v>
      </c>
      <c r="K146" s="167"/>
      <c r="L146" s="2" t="s">
        <v>1922</v>
      </c>
      <c r="M146" s="2">
        <v>140</v>
      </c>
      <c r="N146" s="2" t="s">
        <v>1812</v>
      </c>
      <c r="O146" s="2">
        <v>4</v>
      </c>
      <c r="P146" s="2" t="s">
        <v>1789</v>
      </c>
      <c r="Q146" s="2">
        <v>1</v>
      </c>
      <c r="R146" s="2" t="s">
        <v>1795</v>
      </c>
      <c r="S146" s="2">
        <v>1</v>
      </c>
    </row>
    <row r="147" spans="1:19">
      <c r="A147" s="166"/>
      <c r="B147" s="2" t="s">
        <v>2376</v>
      </c>
      <c r="C147" s="2">
        <v>130</v>
      </c>
      <c r="D147" s="2" t="s">
        <v>1792</v>
      </c>
      <c r="E147" s="2">
        <v>3</v>
      </c>
      <c r="F147" s="2" t="s">
        <v>1795</v>
      </c>
      <c r="G147" s="2">
        <v>2</v>
      </c>
      <c r="H147" s="2" t="s">
        <v>1755</v>
      </c>
      <c r="I147" s="2">
        <v>1</v>
      </c>
      <c r="K147" s="167"/>
      <c r="L147" s="2" t="s">
        <v>1923</v>
      </c>
      <c r="M147" s="2">
        <v>150</v>
      </c>
      <c r="N147" s="2" t="s">
        <v>1812</v>
      </c>
      <c r="O147" s="2">
        <v>4</v>
      </c>
      <c r="P147" s="2" t="s">
        <v>1789</v>
      </c>
      <c r="Q147" s="2">
        <v>1</v>
      </c>
      <c r="R147" s="2" t="s">
        <v>1823</v>
      </c>
      <c r="S147" s="2">
        <v>1</v>
      </c>
    </row>
    <row r="148" spans="1:19">
      <c r="A148" s="166"/>
      <c r="B148" s="2" t="s">
        <v>1916</v>
      </c>
      <c r="C148" s="2">
        <v>140</v>
      </c>
      <c r="D148" s="2" t="s">
        <v>1820</v>
      </c>
      <c r="E148" s="2">
        <v>3</v>
      </c>
      <c r="F148" s="2" t="s">
        <v>1795</v>
      </c>
      <c r="G148" s="2">
        <v>1</v>
      </c>
      <c r="H148" s="2" t="s">
        <v>1879</v>
      </c>
      <c r="I148" s="2">
        <v>2</v>
      </c>
      <c r="K148" s="167"/>
      <c r="L148" s="2" t="s">
        <v>1924</v>
      </c>
      <c r="M148" s="2">
        <v>160</v>
      </c>
      <c r="N148" s="2" t="s">
        <v>1817</v>
      </c>
      <c r="O148" s="2">
        <v>3</v>
      </c>
      <c r="P148" s="2" t="s">
        <v>1818</v>
      </c>
      <c r="Q148" s="2">
        <v>1</v>
      </c>
      <c r="R148" s="2" t="s">
        <v>1824</v>
      </c>
      <c r="S148" s="2">
        <v>1</v>
      </c>
    </row>
    <row r="149" spans="1:19">
      <c r="A149" s="166"/>
      <c r="B149" s="2" t="s">
        <v>1917</v>
      </c>
      <c r="C149" s="2">
        <v>150</v>
      </c>
      <c r="D149" s="2" t="s">
        <v>1820</v>
      </c>
      <c r="E149" s="2">
        <v>3</v>
      </c>
      <c r="F149" s="2" t="s">
        <v>1823</v>
      </c>
      <c r="G149" s="2">
        <v>1</v>
      </c>
      <c r="H149" s="2" t="s">
        <v>1879</v>
      </c>
      <c r="I149" s="2">
        <v>2</v>
      </c>
    </row>
    <row r="150" spans="1:19">
      <c r="A150" s="166"/>
      <c r="B150" s="2" t="s">
        <v>1918</v>
      </c>
      <c r="C150" s="2">
        <v>160</v>
      </c>
      <c r="D150" s="2" t="s">
        <v>1820</v>
      </c>
      <c r="E150" s="2">
        <v>3</v>
      </c>
      <c r="F150" s="2" t="s">
        <v>1824</v>
      </c>
      <c r="G150" s="2">
        <v>1</v>
      </c>
      <c r="H150" s="2" t="s">
        <v>1881</v>
      </c>
      <c r="I150" s="2">
        <v>2</v>
      </c>
    </row>
    <row r="152" spans="1:19" ht="14.25" customHeight="1">
      <c r="A152" s="167" t="s">
        <v>1244</v>
      </c>
      <c r="B152" s="2" t="s">
        <v>1198</v>
      </c>
      <c r="C152" s="2">
        <v>1</v>
      </c>
      <c r="D152" s="2" t="s">
        <v>118</v>
      </c>
      <c r="E152" s="2">
        <v>8</v>
      </c>
      <c r="F152" s="2"/>
      <c r="G152" s="2"/>
      <c r="H152" s="2"/>
      <c r="I152" s="2"/>
    </row>
    <row r="153" spans="1:19">
      <c r="A153" s="167"/>
      <c r="B153" s="2" t="s">
        <v>1199</v>
      </c>
      <c r="C153" s="2">
        <v>5</v>
      </c>
      <c r="D153" s="2" t="s">
        <v>119</v>
      </c>
      <c r="E153" s="2">
        <v>8</v>
      </c>
      <c r="F153" s="2"/>
      <c r="G153" s="2"/>
      <c r="H153" s="2"/>
      <c r="I153" s="2"/>
    </row>
    <row r="154" spans="1:19">
      <c r="A154" s="167"/>
      <c r="B154" s="2" t="s">
        <v>1200</v>
      </c>
      <c r="C154" s="2">
        <v>10</v>
      </c>
      <c r="D154" s="2" t="s">
        <v>119</v>
      </c>
      <c r="E154" s="2">
        <v>8</v>
      </c>
      <c r="F154" s="2" t="s">
        <v>406</v>
      </c>
      <c r="G154" s="2">
        <v>2</v>
      </c>
      <c r="H154" s="2"/>
      <c r="I154" s="2"/>
    </row>
    <row r="155" spans="1:19">
      <c r="A155" s="167"/>
      <c r="B155" s="2" t="s">
        <v>1201</v>
      </c>
      <c r="C155" s="2">
        <v>15</v>
      </c>
      <c r="D155" s="2" t="s">
        <v>120</v>
      </c>
      <c r="E155" s="2">
        <v>8</v>
      </c>
      <c r="F155" s="2" t="s">
        <v>406</v>
      </c>
      <c r="G155" s="2">
        <v>2</v>
      </c>
      <c r="H155" s="2"/>
      <c r="I155" s="2"/>
    </row>
    <row r="156" spans="1:19">
      <c r="A156" s="167"/>
      <c r="B156" s="2" t="s">
        <v>1202</v>
      </c>
      <c r="C156" s="2">
        <v>20</v>
      </c>
      <c r="D156" s="2" t="s">
        <v>120</v>
      </c>
      <c r="E156" s="2">
        <v>8</v>
      </c>
      <c r="F156" s="2" t="s">
        <v>406</v>
      </c>
      <c r="G156" s="2">
        <v>3</v>
      </c>
      <c r="H156" s="2"/>
      <c r="I156" s="2"/>
    </row>
    <row r="157" spans="1:19">
      <c r="A157" s="167"/>
      <c r="B157" s="2" t="s">
        <v>1203</v>
      </c>
      <c r="C157" s="2">
        <v>25</v>
      </c>
      <c r="D157" s="2" t="s">
        <v>121</v>
      </c>
      <c r="E157" s="2">
        <v>8</v>
      </c>
      <c r="F157" s="2" t="s">
        <v>407</v>
      </c>
      <c r="G157" s="2">
        <v>1</v>
      </c>
      <c r="H157" s="2"/>
      <c r="I157" s="2"/>
    </row>
    <row r="158" spans="1:19">
      <c r="A158" s="167"/>
      <c r="B158" s="2" t="s">
        <v>1204</v>
      </c>
      <c r="C158" s="2">
        <v>30</v>
      </c>
      <c r="D158" s="2" t="s">
        <v>121</v>
      </c>
      <c r="E158" s="2">
        <v>8</v>
      </c>
      <c r="F158" s="2" t="s">
        <v>407</v>
      </c>
      <c r="G158" s="2">
        <v>2</v>
      </c>
      <c r="H158" s="2"/>
      <c r="I158" s="2"/>
    </row>
    <row r="159" spans="1:19">
      <c r="A159" s="167"/>
      <c r="B159" s="2" t="s">
        <v>1205</v>
      </c>
      <c r="C159" s="2">
        <v>35</v>
      </c>
      <c r="D159" s="2" t="s">
        <v>123</v>
      </c>
      <c r="E159" s="2">
        <v>8</v>
      </c>
      <c r="F159" s="2" t="s">
        <v>408</v>
      </c>
      <c r="G159" s="2">
        <v>2</v>
      </c>
      <c r="H159" s="2" t="s">
        <v>406</v>
      </c>
      <c r="I159" s="2">
        <v>1</v>
      </c>
    </row>
    <row r="160" spans="1:19">
      <c r="A160" s="167"/>
      <c r="B160" s="2" t="s">
        <v>1206</v>
      </c>
      <c r="C160" s="2">
        <v>40</v>
      </c>
      <c r="D160" s="2" t="s">
        <v>123</v>
      </c>
      <c r="E160" s="2">
        <v>8</v>
      </c>
      <c r="F160" s="2" t="s">
        <v>408</v>
      </c>
      <c r="G160" s="2">
        <v>3</v>
      </c>
      <c r="H160" s="2" t="s">
        <v>407</v>
      </c>
      <c r="I160" s="2">
        <v>1</v>
      </c>
    </row>
    <row r="161" spans="1:9">
      <c r="A161" s="167"/>
      <c r="B161" s="2" t="s">
        <v>1207</v>
      </c>
      <c r="C161" s="2">
        <v>45</v>
      </c>
      <c r="D161" s="2" t="s">
        <v>124</v>
      </c>
      <c r="E161" s="2">
        <v>8</v>
      </c>
      <c r="F161" s="2" t="s">
        <v>412</v>
      </c>
      <c r="G161" s="2">
        <v>1</v>
      </c>
      <c r="H161" s="2" t="s">
        <v>407</v>
      </c>
      <c r="I161" s="2">
        <v>1</v>
      </c>
    </row>
    <row r="162" spans="1:9">
      <c r="A162" s="167"/>
      <c r="B162" s="2" t="s">
        <v>1208</v>
      </c>
      <c r="C162" s="2">
        <v>50</v>
      </c>
      <c r="D162" s="2" t="s">
        <v>124</v>
      </c>
      <c r="E162" s="2">
        <v>8</v>
      </c>
      <c r="F162" s="2" t="s">
        <v>412</v>
      </c>
      <c r="G162" s="2">
        <v>2</v>
      </c>
      <c r="H162" s="2" t="s">
        <v>409</v>
      </c>
      <c r="I162" s="2">
        <v>1</v>
      </c>
    </row>
    <row r="163" spans="1:9">
      <c r="A163" s="167"/>
      <c r="B163" s="2" t="s">
        <v>1209</v>
      </c>
      <c r="C163" s="2">
        <v>55</v>
      </c>
      <c r="D163" s="2" t="s">
        <v>126</v>
      </c>
      <c r="E163" s="2">
        <v>8</v>
      </c>
      <c r="F163" s="2" t="s">
        <v>412</v>
      </c>
      <c r="G163" s="2">
        <v>1</v>
      </c>
      <c r="H163" s="2" t="s">
        <v>410</v>
      </c>
      <c r="I163" s="2">
        <v>1</v>
      </c>
    </row>
    <row r="164" spans="1:9">
      <c r="A164" s="167"/>
      <c r="B164" s="2" t="s">
        <v>1210</v>
      </c>
      <c r="C164" s="2">
        <v>60</v>
      </c>
      <c r="D164" s="2" t="s">
        <v>126</v>
      </c>
      <c r="E164" s="2">
        <v>8</v>
      </c>
      <c r="F164" s="2" t="s">
        <v>414</v>
      </c>
      <c r="G164" s="2">
        <v>1</v>
      </c>
      <c r="H164" s="2" t="s">
        <v>412</v>
      </c>
      <c r="I164" s="2">
        <v>1</v>
      </c>
    </row>
    <row r="165" spans="1:9">
      <c r="A165" s="167"/>
      <c r="B165" s="2" t="s">
        <v>1211</v>
      </c>
      <c r="C165" s="2">
        <v>65</v>
      </c>
      <c r="D165" s="2" t="s">
        <v>129</v>
      </c>
      <c r="E165" s="2">
        <v>8</v>
      </c>
      <c r="F165" s="2" t="s">
        <v>414</v>
      </c>
      <c r="G165" s="2">
        <v>1</v>
      </c>
      <c r="H165" s="2" t="s">
        <v>412</v>
      </c>
      <c r="I165" s="2">
        <v>1</v>
      </c>
    </row>
    <row r="166" spans="1:9">
      <c r="A166" s="167"/>
      <c r="B166" s="2" t="s">
        <v>1212</v>
      </c>
      <c r="C166" s="2">
        <v>70</v>
      </c>
      <c r="D166" s="2" t="s">
        <v>130</v>
      </c>
      <c r="E166" s="2">
        <v>8</v>
      </c>
      <c r="F166" s="2" t="s">
        <v>415</v>
      </c>
      <c r="G166" s="2">
        <v>2</v>
      </c>
      <c r="H166" s="2" t="s">
        <v>412</v>
      </c>
      <c r="I166" s="2">
        <v>1</v>
      </c>
    </row>
    <row r="167" spans="1:9">
      <c r="A167" s="167"/>
      <c r="B167" s="2" t="s">
        <v>1213</v>
      </c>
      <c r="C167" s="2">
        <v>75</v>
      </c>
      <c r="D167" s="2" t="s">
        <v>130</v>
      </c>
      <c r="E167" s="2">
        <v>8</v>
      </c>
      <c r="F167" s="2" t="s">
        <v>416</v>
      </c>
      <c r="G167" s="2">
        <v>2</v>
      </c>
      <c r="H167" s="2" t="s">
        <v>412</v>
      </c>
      <c r="I167" s="2">
        <v>1</v>
      </c>
    </row>
    <row r="168" spans="1:9">
      <c r="A168" s="167"/>
      <c r="B168" s="2" t="s">
        <v>1214</v>
      </c>
      <c r="C168" s="2">
        <v>80</v>
      </c>
      <c r="D168" s="2" t="s">
        <v>130</v>
      </c>
      <c r="E168" s="2">
        <v>8</v>
      </c>
      <c r="F168" s="2" t="s">
        <v>417</v>
      </c>
      <c r="G168" s="2">
        <v>2</v>
      </c>
      <c r="H168" s="2" t="s">
        <v>412</v>
      </c>
      <c r="I168" s="2">
        <v>1</v>
      </c>
    </row>
    <row r="169" spans="1:9">
      <c r="A169" s="167"/>
      <c r="B169" s="162" t="s">
        <v>1215</v>
      </c>
      <c r="C169" s="162"/>
      <c r="D169" s="162"/>
      <c r="E169" s="162"/>
      <c r="F169" s="162"/>
      <c r="G169" s="162"/>
      <c r="H169" s="162"/>
      <c r="I169" s="162"/>
    </row>
    <row r="170" spans="1:9">
      <c r="A170" s="167"/>
      <c r="B170" s="2" t="s">
        <v>1216</v>
      </c>
      <c r="C170" s="2">
        <v>30</v>
      </c>
      <c r="D170" s="2" t="s">
        <v>120</v>
      </c>
      <c r="E170" s="2">
        <v>8</v>
      </c>
      <c r="F170" s="2" t="s">
        <v>407</v>
      </c>
      <c r="G170" s="2">
        <v>1</v>
      </c>
      <c r="H170" s="2" t="s">
        <v>425</v>
      </c>
      <c r="I170" s="2">
        <v>1</v>
      </c>
    </row>
    <row r="171" spans="1:9">
      <c r="A171" s="167"/>
      <c r="B171" s="2" t="s">
        <v>1217</v>
      </c>
      <c r="C171" s="2">
        <v>34</v>
      </c>
      <c r="D171" s="2" t="s">
        <v>120</v>
      </c>
      <c r="E171" s="2">
        <v>8</v>
      </c>
      <c r="F171" s="2" t="s">
        <v>407</v>
      </c>
      <c r="G171" s="2">
        <v>2</v>
      </c>
      <c r="H171" s="2" t="s">
        <v>426</v>
      </c>
      <c r="I171" s="2">
        <v>1</v>
      </c>
    </row>
    <row r="172" spans="1:9">
      <c r="A172" s="167"/>
      <c r="B172" s="2" t="s">
        <v>1218</v>
      </c>
      <c r="C172" s="2">
        <v>38</v>
      </c>
      <c r="D172" s="2" t="s">
        <v>121</v>
      </c>
      <c r="E172" s="2">
        <v>8</v>
      </c>
      <c r="F172" s="2" t="s">
        <v>409</v>
      </c>
      <c r="G172" s="2">
        <v>2</v>
      </c>
      <c r="H172" s="2" t="s">
        <v>429</v>
      </c>
      <c r="I172" s="2">
        <v>1</v>
      </c>
    </row>
    <row r="173" spans="1:9">
      <c r="A173" s="167"/>
      <c r="B173" s="2" t="s">
        <v>1219</v>
      </c>
      <c r="C173" s="2">
        <v>42</v>
      </c>
      <c r="D173" s="2" t="s">
        <v>121</v>
      </c>
      <c r="E173" s="2">
        <v>8</v>
      </c>
      <c r="F173" s="2" t="s">
        <v>410</v>
      </c>
      <c r="G173" s="2">
        <v>2</v>
      </c>
      <c r="H173" s="2" t="s">
        <v>430</v>
      </c>
      <c r="I173" s="2">
        <v>1</v>
      </c>
    </row>
    <row r="174" spans="1:9">
      <c r="A174" s="167"/>
      <c r="B174" s="2" t="s">
        <v>1220</v>
      </c>
      <c r="C174" s="2">
        <v>46</v>
      </c>
      <c r="D174" s="2" t="s">
        <v>121</v>
      </c>
      <c r="E174" s="2">
        <v>8</v>
      </c>
      <c r="F174" s="2" t="s">
        <v>412</v>
      </c>
      <c r="G174" s="2">
        <v>2</v>
      </c>
      <c r="H174" s="2" t="s">
        <v>431</v>
      </c>
      <c r="I174" s="2">
        <v>1</v>
      </c>
    </row>
    <row r="175" spans="1:9">
      <c r="A175" s="167"/>
      <c r="B175" s="2" t="s">
        <v>1221</v>
      </c>
      <c r="C175" s="2">
        <v>50</v>
      </c>
      <c r="D175" s="2" t="s">
        <v>124</v>
      </c>
      <c r="E175" s="2">
        <v>8</v>
      </c>
      <c r="F175" s="2" t="s">
        <v>412</v>
      </c>
      <c r="G175" s="2">
        <v>2</v>
      </c>
      <c r="H175" s="2" t="s">
        <v>432</v>
      </c>
      <c r="I175" s="2">
        <v>1</v>
      </c>
    </row>
    <row r="176" spans="1:9">
      <c r="A176" s="167"/>
      <c r="B176" s="2" t="s">
        <v>1222</v>
      </c>
      <c r="C176" s="2">
        <v>54</v>
      </c>
      <c r="D176" s="2" t="s">
        <v>124</v>
      </c>
      <c r="E176" s="2">
        <v>8</v>
      </c>
      <c r="F176" s="2" t="s">
        <v>412</v>
      </c>
      <c r="G176" s="2">
        <v>3</v>
      </c>
      <c r="H176" s="2" t="s">
        <v>433</v>
      </c>
      <c r="I176" s="2">
        <v>1</v>
      </c>
    </row>
    <row r="177" spans="1:9">
      <c r="A177" s="167"/>
      <c r="B177" s="2" t="s">
        <v>1223</v>
      </c>
      <c r="C177" s="2">
        <v>58</v>
      </c>
      <c r="D177" s="2" t="s">
        <v>126</v>
      </c>
      <c r="E177" s="2">
        <v>8</v>
      </c>
      <c r="F177" s="2" t="s">
        <v>412</v>
      </c>
      <c r="G177" s="2">
        <v>2</v>
      </c>
      <c r="H177" s="2" t="s">
        <v>434</v>
      </c>
      <c r="I177" s="2">
        <v>1</v>
      </c>
    </row>
    <row r="178" spans="1:9">
      <c r="A178" s="167"/>
      <c r="B178" s="2" t="s">
        <v>1224</v>
      </c>
      <c r="C178" s="2">
        <v>62</v>
      </c>
      <c r="D178" s="2" t="s">
        <v>126</v>
      </c>
      <c r="E178" s="2">
        <v>8</v>
      </c>
      <c r="F178" s="2" t="s">
        <v>414</v>
      </c>
      <c r="G178" s="2">
        <v>2</v>
      </c>
      <c r="H178" s="2" t="s">
        <v>442</v>
      </c>
      <c r="I178" s="2">
        <v>1</v>
      </c>
    </row>
    <row r="179" spans="1:9">
      <c r="A179" s="167"/>
      <c r="B179" s="2" t="s">
        <v>1225</v>
      </c>
      <c r="C179" s="2">
        <v>66</v>
      </c>
      <c r="D179" s="2" t="s">
        <v>129</v>
      </c>
      <c r="E179" s="2">
        <v>8</v>
      </c>
      <c r="F179" s="2" t="s">
        <v>414</v>
      </c>
      <c r="G179" s="2">
        <v>2</v>
      </c>
      <c r="H179" s="2" t="s">
        <v>443</v>
      </c>
      <c r="I179" s="2">
        <v>1</v>
      </c>
    </row>
    <row r="180" spans="1:9">
      <c r="A180" s="167"/>
      <c r="B180" s="2" t="s">
        <v>1226</v>
      </c>
      <c r="C180" s="2">
        <v>70</v>
      </c>
      <c r="D180" s="2" t="s">
        <v>129</v>
      </c>
      <c r="E180" s="2">
        <v>8</v>
      </c>
      <c r="F180" s="2" t="s">
        <v>415</v>
      </c>
      <c r="G180" s="2">
        <v>2</v>
      </c>
      <c r="H180" s="2" t="s">
        <v>444</v>
      </c>
      <c r="I180" s="2">
        <v>1</v>
      </c>
    </row>
    <row r="181" spans="1:9">
      <c r="A181" s="167"/>
      <c r="B181" s="2" t="s">
        <v>1227</v>
      </c>
      <c r="C181" s="2">
        <v>77</v>
      </c>
      <c r="D181" s="2" t="s">
        <v>130</v>
      </c>
      <c r="E181" s="2">
        <v>8</v>
      </c>
      <c r="F181" s="2" t="s">
        <v>415</v>
      </c>
      <c r="G181" s="2">
        <v>2</v>
      </c>
      <c r="H181" s="2" t="s">
        <v>445</v>
      </c>
      <c r="I181" s="2">
        <v>1</v>
      </c>
    </row>
    <row r="182" spans="1:9">
      <c r="A182" s="167"/>
      <c r="B182" s="2" t="s">
        <v>1228</v>
      </c>
      <c r="C182" s="2">
        <v>84</v>
      </c>
      <c r="D182" s="2" t="s">
        <v>130</v>
      </c>
      <c r="E182" s="2">
        <v>8</v>
      </c>
      <c r="F182" s="2" t="s">
        <v>416</v>
      </c>
      <c r="G182" s="2">
        <v>2</v>
      </c>
      <c r="H182" s="2" t="s">
        <v>446</v>
      </c>
      <c r="I182" s="2">
        <v>1</v>
      </c>
    </row>
    <row r="183" spans="1:9">
      <c r="A183" s="167"/>
      <c r="B183" s="2" t="s">
        <v>1229</v>
      </c>
      <c r="C183" s="2">
        <v>50</v>
      </c>
      <c r="D183" s="2" t="s">
        <v>123</v>
      </c>
      <c r="E183" s="2">
        <v>8</v>
      </c>
      <c r="F183" s="2" t="s">
        <v>412</v>
      </c>
      <c r="G183" s="2">
        <v>2</v>
      </c>
      <c r="H183" s="2" t="s">
        <v>435</v>
      </c>
      <c r="I183" s="2">
        <v>1</v>
      </c>
    </row>
    <row r="184" spans="1:9">
      <c r="A184" s="167"/>
      <c r="B184" s="2" t="s">
        <v>1230</v>
      </c>
      <c r="C184" s="2">
        <v>52</v>
      </c>
      <c r="D184" s="2" t="s">
        <v>123</v>
      </c>
      <c r="E184" s="2">
        <v>8</v>
      </c>
      <c r="F184" s="2" t="s">
        <v>412</v>
      </c>
      <c r="G184" s="2">
        <v>3</v>
      </c>
      <c r="H184" s="2" t="s">
        <v>436</v>
      </c>
      <c r="I184" s="2">
        <v>1</v>
      </c>
    </row>
    <row r="185" spans="1:9">
      <c r="A185" s="167"/>
      <c r="B185" s="2" t="s">
        <v>1231</v>
      </c>
      <c r="C185" s="2">
        <v>54</v>
      </c>
      <c r="D185" s="2" t="s">
        <v>124</v>
      </c>
      <c r="E185" s="2">
        <v>8</v>
      </c>
      <c r="F185" s="2" t="s">
        <v>412</v>
      </c>
      <c r="G185" s="2">
        <v>2</v>
      </c>
      <c r="H185" s="2" t="s">
        <v>437</v>
      </c>
      <c r="I185" s="2">
        <v>1</v>
      </c>
    </row>
    <row r="186" spans="1:9">
      <c r="A186" s="167"/>
      <c r="B186" s="2" t="s">
        <v>1232</v>
      </c>
      <c r="C186" s="2">
        <v>56</v>
      </c>
      <c r="D186" s="2" t="s">
        <v>124</v>
      </c>
      <c r="E186" s="2">
        <v>8</v>
      </c>
      <c r="F186" s="2" t="s">
        <v>414</v>
      </c>
      <c r="G186" s="2">
        <v>2</v>
      </c>
      <c r="H186" s="2" t="s">
        <v>438</v>
      </c>
      <c r="I186" s="2">
        <v>1</v>
      </c>
    </row>
    <row r="187" spans="1:9">
      <c r="A187" s="167"/>
      <c r="B187" s="2" t="s">
        <v>1233</v>
      </c>
      <c r="C187" s="2">
        <v>58</v>
      </c>
      <c r="D187" s="2" t="s">
        <v>126</v>
      </c>
      <c r="E187" s="2">
        <v>8</v>
      </c>
      <c r="F187" s="2" t="s">
        <v>414</v>
      </c>
      <c r="G187" s="2">
        <v>2</v>
      </c>
      <c r="H187" s="2" t="s">
        <v>439</v>
      </c>
      <c r="I187" s="2">
        <v>1</v>
      </c>
    </row>
    <row r="188" spans="1:9">
      <c r="A188" s="167"/>
      <c r="B188" s="2" t="s">
        <v>1234</v>
      </c>
      <c r="C188" s="2">
        <v>60</v>
      </c>
      <c r="D188" s="2" t="s">
        <v>126</v>
      </c>
      <c r="E188" s="2">
        <v>8</v>
      </c>
      <c r="F188" s="2" t="s">
        <v>415</v>
      </c>
      <c r="G188" s="2">
        <v>2</v>
      </c>
      <c r="H188" s="2" t="s">
        <v>440</v>
      </c>
      <c r="I188" s="2">
        <v>1</v>
      </c>
    </row>
    <row r="189" spans="1:9">
      <c r="A189" s="167"/>
      <c r="B189" s="2" t="s">
        <v>1235</v>
      </c>
      <c r="C189" s="2">
        <v>62</v>
      </c>
      <c r="D189" s="2" t="s">
        <v>129</v>
      </c>
      <c r="E189" s="2">
        <v>8</v>
      </c>
      <c r="F189" s="2" t="s">
        <v>415</v>
      </c>
      <c r="G189" s="2">
        <v>2</v>
      </c>
      <c r="H189" s="2" t="s">
        <v>441</v>
      </c>
      <c r="I189" s="2">
        <v>1</v>
      </c>
    </row>
    <row r="190" spans="1:9">
      <c r="A190" s="167"/>
      <c r="B190" s="2" t="s">
        <v>1236</v>
      </c>
      <c r="C190" s="2">
        <v>50</v>
      </c>
      <c r="D190" s="2" t="s">
        <v>132</v>
      </c>
      <c r="E190" s="2">
        <v>10</v>
      </c>
      <c r="F190" s="2" t="s">
        <v>418</v>
      </c>
      <c r="G190" s="2">
        <v>2</v>
      </c>
      <c r="H190" s="2" t="s">
        <v>447</v>
      </c>
      <c r="I190" s="2">
        <v>4</v>
      </c>
    </row>
    <row r="191" spans="1:9">
      <c r="A191" s="167"/>
      <c r="B191" s="2" t="s">
        <v>1237</v>
      </c>
      <c r="C191" s="2">
        <v>60</v>
      </c>
      <c r="D191" s="2" t="s">
        <v>133</v>
      </c>
      <c r="E191" s="2">
        <v>10</v>
      </c>
      <c r="F191" s="2" t="s">
        <v>1238</v>
      </c>
      <c r="G191" s="2">
        <v>4</v>
      </c>
      <c r="H191" s="2" t="s">
        <v>448</v>
      </c>
      <c r="I191" s="2">
        <v>4</v>
      </c>
    </row>
    <row r="192" spans="1:9">
      <c r="A192" s="167"/>
      <c r="B192" s="2" t="s">
        <v>1239</v>
      </c>
      <c r="C192" s="2">
        <v>75</v>
      </c>
      <c r="D192" s="2" t="s">
        <v>134</v>
      </c>
      <c r="E192" s="2">
        <v>12</v>
      </c>
      <c r="F192" s="2" t="s">
        <v>421</v>
      </c>
      <c r="G192" s="2">
        <v>3</v>
      </c>
      <c r="H192" s="2" t="s">
        <v>449</v>
      </c>
      <c r="I192" s="2">
        <v>6</v>
      </c>
    </row>
    <row r="193" spans="1:9">
      <c r="A193" s="167"/>
      <c r="B193" s="2" t="s">
        <v>1240</v>
      </c>
      <c r="C193" s="2">
        <v>86</v>
      </c>
      <c r="D193" s="2" t="s">
        <v>135</v>
      </c>
      <c r="E193" s="2">
        <v>8</v>
      </c>
      <c r="F193" s="2" t="s">
        <v>405</v>
      </c>
      <c r="G193" s="2">
        <v>1</v>
      </c>
      <c r="H193" s="2" t="s">
        <v>575</v>
      </c>
      <c r="I193" s="2">
        <v>1</v>
      </c>
    </row>
    <row r="194" spans="1:9">
      <c r="A194" s="167"/>
      <c r="B194" s="2" t="s">
        <v>1241</v>
      </c>
      <c r="C194" s="2">
        <v>89</v>
      </c>
      <c r="D194" s="2" t="s">
        <v>136</v>
      </c>
      <c r="E194" s="2">
        <v>8</v>
      </c>
      <c r="F194" s="2" t="s">
        <v>423</v>
      </c>
      <c r="G194" s="2">
        <v>1</v>
      </c>
      <c r="H194" s="2" t="s">
        <v>576</v>
      </c>
      <c r="I194" s="2">
        <v>1</v>
      </c>
    </row>
    <row r="195" spans="1:9">
      <c r="A195" s="167"/>
      <c r="B195" s="2" t="s">
        <v>1242</v>
      </c>
      <c r="C195" s="2">
        <v>92</v>
      </c>
      <c r="D195" s="2" t="s">
        <v>137</v>
      </c>
      <c r="E195" s="2">
        <v>8</v>
      </c>
      <c r="F195" s="2" t="s">
        <v>424</v>
      </c>
      <c r="G195" s="2">
        <v>1</v>
      </c>
      <c r="H195" s="2" t="s">
        <v>1066</v>
      </c>
      <c r="I195" s="2">
        <v>1</v>
      </c>
    </row>
    <row r="196" spans="1:9">
      <c r="A196" s="167"/>
      <c r="B196" s="2" t="s">
        <v>1243</v>
      </c>
      <c r="C196" s="2">
        <v>95</v>
      </c>
      <c r="D196" s="2" t="s">
        <v>137</v>
      </c>
      <c r="E196" s="2">
        <v>8</v>
      </c>
      <c r="F196" s="2" t="s">
        <v>424</v>
      </c>
      <c r="G196" s="2">
        <v>2</v>
      </c>
      <c r="H196" s="2" t="s">
        <v>1066</v>
      </c>
      <c r="I196" s="2">
        <v>1</v>
      </c>
    </row>
    <row r="197" spans="1:9">
      <c r="A197" s="167"/>
      <c r="B197" s="2" t="s">
        <v>2377</v>
      </c>
      <c r="C197" s="2">
        <v>110</v>
      </c>
      <c r="D197" s="2" t="s">
        <v>1753</v>
      </c>
      <c r="E197" s="2">
        <v>8</v>
      </c>
      <c r="F197" s="2" t="s">
        <v>1790</v>
      </c>
      <c r="G197" s="2">
        <v>3</v>
      </c>
      <c r="H197" s="2" t="s">
        <v>1793</v>
      </c>
      <c r="I197" s="2">
        <v>1</v>
      </c>
    </row>
    <row r="198" spans="1:9">
      <c r="A198" s="167"/>
      <c r="B198" s="2" t="s">
        <v>2378</v>
      </c>
      <c r="C198" s="2">
        <v>120</v>
      </c>
      <c r="D198" s="2" t="s">
        <v>1754</v>
      </c>
      <c r="E198" s="2">
        <v>8</v>
      </c>
      <c r="F198" s="2" t="s">
        <v>1791</v>
      </c>
      <c r="G198" s="2">
        <v>3</v>
      </c>
      <c r="H198" s="2" t="s">
        <v>1794</v>
      </c>
      <c r="I198" s="2">
        <v>1</v>
      </c>
    </row>
    <row r="199" spans="1:9">
      <c r="A199" s="167"/>
      <c r="B199" s="2" t="s">
        <v>2379</v>
      </c>
      <c r="C199" s="2">
        <v>130</v>
      </c>
      <c r="D199" s="2" t="s">
        <v>1755</v>
      </c>
      <c r="E199" s="2">
        <v>8</v>
      </c>
      <c r="F199" s="2" t="s">
        <v>1792</v>
      </c>
      <c r="G199" s="2">
        <v>3</v>
      </c>
      <c r="H199" s="2" t="s">
        <v>1795</v>
      </c>
      <c r="I199" s="2">
        <v>1</v>
      </c>
    </row>
    <row r="200" spans="1:9">
      <c r="A200" s="167"/>
      <c r="B200" s="2" t="s">
        <v>1919</v>
      </c>
      <c r="C200" s="2">
        <v>140</v>
      </c>
      <c r="D200" s="2" t="s">
        <v>1879</v>
      </c>
      <c r="E200" s="2">
        <v>8</v>
      </c>
      <c r="F200" s="2" t="s">
        <v>1792</v>
      </c>
      <c r="G200" s="2">
        <v>3</v>
      </c>
      <c r="H200" s="2" t="s">
        <v>1795</v>
      </c>
      <c r="I200" s="2">
        <v>1</v>
      </c>
    </row>
    <row r="201" spans="1:9">
      <c r="A201" s="167"/>
      <c r="B201" s="2" t="s">
        <v>1920</v>
      </c>
      <c r="C201" s="2">
        <v>150</v>
      </c>
      <c r="D201" s="2" t="s">
        <v>1879</v>
      </c>
      <c r="E201" s="2">
        <v>8</v>
      </c>
      <c r="F201" s="2" t="s">
        <v>1792</v>
      </c>
      <c r="G201" s="2">
        <v>3</v>
      </c>
      <c r="H201" s="2" t="s">
        <v>1823</v>
      </c>
      <c r="I201" s="2">
        <v>1</v>
      </c>
    </row>
    <row r="202" spans="1:9">
      <c r="A202" s="167"/>
      <c r="B202" s="2" t="s">
        <v>1921</v>
      </c>
      <c r="C202" s="2">
        <v>160</v>
      </c>
      <c r="D202" s="2" t="s">
        <v>1881</v>
      </c>
      <c r="E202" s="2">
        <v>8</v>
      </c>
      <c r="F202" s="2" t="s">
        <v>1792</v>
      </c>
      <c r="G202" s="2">
        <v>3</v>
      </c>
      <c r="H202" s="2" t="s">
        <v>1824</v>
      </c>
      <c r="I202" s="2">
        <v>1</v>
      </c>
    </row>
  </sheetData>
  <mergeCells count="15">
    <mergeCell ref="A152:A202"/>
    <mergeCell ref="K2:K48"/>
    <mergeCell ref="K50:K98"/>
    <mergeCell ref="K100:K148"/>
    <mergeCell ref="B169:I169"/>
    <mergeCell ref="B119:I119"/>
    <mergeCell ref="L67:S67"/>
    <mergeCell ref="L117:S117"/>
    <mergeCell ref="A2:A50"/>
    <mergeCell ref="A1:S1"/>
    <mergeCell ref="B69:I69"/>
    <mergeCell ref="L19:S19"/>
    <mergeCell ref="B19:I19"/>
    <mergeCell ref="A52:A100"/>
    <mergeCell ref="A102:A150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S211"/>
  <sheetViews>
    <sheetView workbookViewId="0">
      <pane xSplit="1" ySplit="1" topLeftCell="B177" activePane="bottomRight" state="frozen"/>
      <selection pane="topRight" activeCell="B1" sqref="B1"/>
      <selection pane="bottomLeft" activeCell="A2" sqref="A2"/>
      <selection pane="bottomRight" activeCell="F193" sqref="F193"/>
    </sheetView>
  </sheetViews>
  <sheetFormatPr defaultRowHeight="14.25"/>
  <cols>
    <col min="1" max="1" width="4.25" style="20" customWidth="1"/>
    <col min="2" max="2" width="11.375" style="20" bestFit="1" customWidth="1"/>
    <col min="3" max="3" width="4.125" style="20" customWidth="1"/>
    <col min="4" max="4" width="9.625" style="20" bestFit="1" customWidth="1"/>
    <col min="5" max="5" width="3.25" style="20" customWidth="1"/>
    <col min="6" max="6" width="9.625" style="20" bestFit="1" customWidth="1"/>
    <col min="7" max="7" width="3.25" style="20" customWidth="1"/>
    <col min="8" max="8" width="9.625" style="20" bestFit="1" customWidth="1"/>
    <col min="9" max="9" width="3.25" style="20" customWidth="1"/>
    <col min="10" max="10" width="3.625" style="20" customWidth="1"/>
    <col min="11" max="11" width="4.25" style="20" customWidth="1"/>
    <col min="12" max="12" width="11.375" style="20" bestFit="1" customWidth="1"/>
    <col min="13" max="13" width="4.125" style="20" customWidth="1"/>
    <col min="14" max="14" width="9.625" style="20" bestFit="1" customWidth="1"/>
    <col min="15" max="15" width="3.25" style="20" customWidth="1"/>
    <col min="16" max="16" width="9.625" style="20" bestFit="1" customWidth="1"/>
    <col min="17" max="17" width="3.25" style="20" customWidth="1"/>
    <col min="18" max="18" width="9.625" style="20" bestFit="1" customWidth="1"/>
    <col min="19" max="19" width="3.25" style="20" customWidth="1"/>
    <col min="20" max="16384" width="9" style="20"/>
  </cols>
  <sheetData>
    <row r="1" spans="1:19" ht="33">
      <c r="A1" s="153" t="s">
        <v>199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</row>
    <row r="2" spans="1:19">
      <c r="A2" s="167" t="s">
        <v>1378</v>
      </c>
      <c r="B2" s="2" t="s">
        <v>1379</v>
      </c>
      <c r="C2" s="2">
        <v>1</v>
      </c>
      <c r="D2" s="2" t="s">
        <v>406</v>
      </c>
      <c r="E2" s="2">
        <v>2</v>
      </c>
      <c r="F2" s="2" t="s">
        <v>1289</v>
      </c>
      <c r="G2" s="2">
        <v>1</v>
      </c>
      <c r="H2" s="2"/>
      <c r="I2" s="2"/>
      <c r="K2" s="168" t="s">
        <v>1531</v>
      </c>
      <c r="L2" s="2" t="s">
        <v>1532</v>
      </c>
      <c r="M2" s="2">
        <v>1</v>
      </c>
      <c r="N2" s="2" t="s">
        <v>388</v>
      </c>
      <c r="O2" s="2">
        <v>3</v>
      </c>
      <c r="P2" s="2" t="s">
        <v>387</v>
      </c>
      <c r="Q2" s="2">
        <v>2</v>
      </c>
      <c r="R2" s="2"/>
      <c r="S2" s="2"/>
    </row>
    <row r="3" spans="1:19">
      <c r="A3" s="167"/>
      <c r="B3" s="2" t="s">
        <v>1380</v>
      </c>
      <c r="C3" s="2">
        <v>5</v>
      </c>
      <c r="D3" s="2" t="s">
        <v>406</v>
      </c>
      <c r="E3" s="2">
        <v>2</v>
      </c>
      <c r="F3" s="2" t="s">
        <v>1289</v>
      </c>
      <c r="G3" s="2">
        <v>2</v>
      </c>
      <c r="H3" s="2"/>
      <c r="I3" s="2"/>
      <c r="K3" s="169"/>
      <c r="L3" s="2" t="s">
        <v>1533</v>
      </c>
      <c r="M3" s="2">
        <v>5</v>
      </c>
      <c r="N3" s="2" t="s">
        <v>388</v>
      </c>
      <c r="O3" s="2">
        <v>4</v>
      </c>
      <c r="P3" s="2" t="s">
        <v>389</v>
      </c>
      <c r="Q3" s="2">
        <v>3</v>
      </c>
      <c r="R3" s="2"/>
      <c r="S3" s="2"/>
    </row>
    <row r="4" spans="1:19">
      <c r="A4" s="167"/>
      <c r="B4" s="2" t="s">
        <v>1381</v>
      </c>
      <c r="C4" s="2">
        <v>10</v>
      </c>
      <c r="D4" s="2" t="s">
        <v>407</v>
      </c>
      <c r="E4" s="2">
        <v>2</v>
      </c>
      <c r="F4" s="2" t="s">
        <v>1292</v>
      </c>
      <c r="G4" s="2">
        <v>2</v>
      </c>
      <c r="H4" s="2"/>
      <c r="I4" s="2"/>
      <c r="K4" s="169"/>
      <c r="L4" s="2" t="s">
        <v>1534</v>
      </c>
      <c r="M4" s="2">
        <v>10</v>
      </c>
      <c r="N4" s="2" t="s">
        <v>390</v>
      </c>
      <c r="O4" s="2">
        <v>4</v>
      </c>
      <c r="P4" s="2" t="s">
        <v>389</v>
      </c>
      <c r="Q4" s="2">
        <v>3</v>
      </c>
      <c r="R4" s="2"/>
      <c r="S4" s="2"/>
    </row>
    <row r="5" spans="1:19">
      <c r="A5" s="167"/>
      <c r="B5" s="2" t="s">
        <v>1382</v>
      </c>
      <c r="C5" s="2">
        <v>15</v>
      </c>
      <c r="D5" s="2" t="s">
        <v>407</v>
      </c>
      <c r="E5" s="2">
        <v>3</v>
      </c>
      <c r="F5" s="2" t="s">
        <v>1292</v>
      </c>
      <c r="G5" s="2">
        <v>1</v>
      </c>
      <c r="H5" s="2"/>
      <c r="I5" s="2"/>
      <c r="K5" s="169"/>
      <c r="L5" s="2" t="s">
        <v>1535</v>
      </c>
      <c r="M5" s="2">
        <v>15</v>
      </c>
      <c r="N5" s="2" t="s">
        <v>390</v>
      </c>
      <c r="O5" s="2">
        <v>5</v>
      </c>
      <c r="P5" s="2" t="s">
        <v>391</v>
      </c>
      <c r="Q5" s="2">
        <v>1</v>
      </c>
      <c r="R5" s="2"/>
      <c r="S5" s="2"/>
    </row>
    <row r="6" spans="1:19">
      <c r="A6" s="167"/>
      <c r="B6" s="2" t="s">
        <v>1383</v>
      </c>
      <c r="C6" s="2">
        <v>20</v>
      </c>
      <c r="D6" s="2" t="s">
        <v>408</v>
      </c>
      <c r="E6" s="2">
        <v>2</v>
      </c>
      <c r="F6" s="2" t="s">
        <v>1297</v>
      </c>
      <c r="G6" s="2">
        <v>1</v>
      </c>
      <c r="H6" s="2"/>
      <c r="I6" s="2"/>
      <c r="K6" s="169"/>
      <c r="L6" s="2" t="s">
        <v>1536</v>
      </c>
      <c r="M6" s="2">
        <v>20</v>
      </c>
      <c r="N6" s="2" t="s">
        <v>392</v>
      </c>
      <c r="O6" s="2">
        <v>4</v>
      </c>
      <c r="P6" s="2" t="s">
        <v>391</v>
      </c>
      <c r="Q6" s="2">
        <v>1</v>
      </c>
      <c r="R6" s="2"/>
      <c r="S6" s="2"/>
    </row>
    <row r="7" spans="1:19">
      <c r="A7" s="167"/>
      <c r="B7" s="2" t="s">
        <v>1384</v>
      </c>
      <c r="C7" s="2">
        <v>25</v>
      </c>
      <c r="D7" s="2" t="s">
        <v>408</v>
      </c>
      <c r="E7" s="2">
        <v>3</v>
      </c>
      <c r="F7" s="2" t="s">
        <v>1297</v>
      </c>
      <c r="G7" s="2">
        <v>1</v>
      </c>
      <c r="H7" s="2"/>
      <c r="I7" s="2"/>
      <c r="K7" s="169"/>
      <c r="L7" s="2" t="s">
        <v>1537</v>
      </c>
      <c r="M7" s="2">
        <v>30</v>
      </c>
      <c r="N7" s="2" t="s">
        <v>392</v>
      </c>
      <c r="O7" s="2">
        <v>4</v>
      </c>
      <c r="P7" s="2" t="s">
        <v>393</v>
      </c>
      <c r="Q7" s="2">
        <v>1</v>
      </c>
      <c r="R7" s="2"/>
      <c r="S7" s="2"/>
    </row>
    <row r="8" spans="1:19">
      <c r="A8" s="167"/>
      <c r="B8" s="2" t="s">
        <v>1385</v>
      </c>
      <c r="C8" s="2">
        <v>30</v>
      </c>
      <c r="D8" s="2" t="s">
        <v>409</v>
      </c>
      <c r="E8" s="2">
        <v>2</v>
      </c>
      <c r="F8" s="2" t="s">
        <v>407</v>
      </c>
      <c r="G8" s="2">
        <v>2</v>
      </c>
      <c r="H8" s="2" t="s">
        <v>269</v>
      </c>
      <c r="I8" s="2">
        <v>1</v>
      </c>
      <c r="K8" s="169"/>
      <c r="L8" s="2" t="s">
        <v>2939</v>
      </c>
      <c r="M8" s="2">
        <v>35</v>
      </c>
      <c r="N8" s="2" t="s">
        <v>394</v>
      </c>
      <c r="O8" s="2">
        <v>4</v>
      </c>
      <c r="P8" s="2" t="s">
        <v>393</v>
      </c>
      <c r="Q8" s="2">
        <v>1</v>
      </c>
      <c r="R8" s="2"/>
      <c r="S8" s="2"/>
    </row>
    <row r="9" spans="1:19">
      <c r="A9" s="167"/>
      <c r="B9" s="2" t="s">
        <v>1386</v>
      </c>
      <c r="C9" s="2">
        <v>35</v>
      </c>
      <c r="D9" s="2" t="s">
        <v>408</v>
      </c>
      <c r="E9" s="2">
        <v>3</v>
      </c>
      <c r="F9" s="2" t="s">
        <v>409</v>
      </c>
      <c r="G9" s="2">
        <v>1</v>
      </c>
      <c r="H9" s="2" t="s">
        <v>270</v>
      </c>
      <c r="I9" s="2">
        <v>1</v>
      </c>
      <c r="K9" s="169"/>
      <c r="L9" s="2" t="s">
        <v>2940</v>
      </c>
      <c r="M9" s="2">
        <v>40</v>
      </c>
      <c r="N9" s="2" t="s">
        <v>394</v>
      </c>
      <c r="O9" s="2">
        <v>4</v>
      </c>
      <c r="P9" s="2" t="s">
        <v>407</v>
      </c>
      <c r="Q9" s="2">
        <v>1</v>
      </c>
      <c r="R9" s="2" t="s">
        <v>393</v>
      </c>
      <c r="S9" s="2">
        <v>1</v>
      </c>
    </row>
    <row r="10" spans="1:19">
      <c r="A10" s="167"/>
      <c r="B10" s="2" t="s">
        <v>1387</v>
      </c>
      <c r="C10" s="2">
        <v>40</v>
      </c>
      <c r="D10" s="2" t="s">
        <v>412</v>
      </c>
      <c r="E10" s="2">
        <v>2</v>
      </c>
      <c r="F10" s="2" t="s">
        <v>407</v>
      </c>
      <c r="G10" s="2">
        <v>1</v>
      </c>
      <c r="H10" s="2" t="s">
        <v>270</v>
      </c>
      <c r="I10" s="2">
        <v>1</v>
      </c>
      <c r="K10" s="169"/>
      <c r="L10" s="2" t="s">
        <v>2941</v>
      </c>
      <c r="M10" s="2">
        <v>45</v>
      </c>
      <c r="N10" s="2" t="s">
        <v>394</v>
      </c>
      <c r="O10" s="2">
        <v>4</v>
      </c>
      <c r="P10" s="2" t="s">
        <v>409</v>
      </c>
      <c r="Q10" s="2">
        <v>2</v>
      </c>
      <c r="R10" s="2" t="s">
        <v>393</v>
      </c>
      <c r="S10" s="2">
        <v>1</v>
      </c>
    </row>
    <row r="11" spans="1:19">
      <c r="A11" s="167"/>
      <c r="B11" s="2" t="s">
        <v>1388</v>
      </c>
      <c r="C11" s="2">
        <v>45</v>
      </c>
      <c r="D11" s="2" t="s">
        <v>412</v>
      </c>
      <c r="E11" s="2">
        <v>2</v>
      </c>
      <c r="F11" s="2" t="s">
        <v>409</v>
      </c>
      <c r="G11" s="2">
        <v>2</v>
      </c>
      <c r="H11" s="2" t="s">
        <v>270</v>
      </c>
      <c r="I11" s="2">
        <v>1</v>
      </c>
      <c r="K11" s="169"/>
      <c r="L11" s="2" t="s">
        <v>2942</v>
      </c>
      <c r="M11" s="2">
        <v>50</v>
      </c>
      <c r="N11" s="2" t="s">
        <v>396</v>
      </c>
      <c r="O11" s="2">
        <v>4</v>
      </c>
      <c r="P11" s="2" t="s">
        <v>409</v>
      </c>
      <c r="Q11" s="2">
        <v>1</v>
      </c>
      <c r="R11" s="2" t="s">
        <v>393</v>
      </c>
      <c r="S11" s="2">
        <v>1</v>
      </c>
    </row>
    <row r="12" spans="1:19">
      <c r="A12" s="167"/>
      <c r="B12" s="2" t="s">
        <v>1389</v>
      </c>
      <c r="C12" s="2">
        <v>50</v>
      </c>
      <c r="D12" s="2" t="s">
        <v>412</v>
      </c>
      <c r="E12" s="2">
        <v>2</v>
      </c>
      <c r="F12" s="2" t="s">
        <v>410</v>
      </c>
      <c r="G12" s="2">
        <v>2</v>
      </c>
      <c r="H12" s="2" t="s">
        <v>271</v>
      </c>
      <c r="I12" s="2">
        <v>1</v>
      </c>
      <c r="K12" s="169"/>
      <c r="L12" s="2" t="s">
        <v>2943</v>
      </c>
      <c r="M12" s="2">
        <v>55</v>
      </c>
      <c r="N12" s="2" t="s">
        <v>396</v>
      </c>
      <c r="O12" s="2">
        <v>4</v>
      </c>
      <c r="P12" s="2" t="s">
        <v>409</v>
      </c>
      <c r="Q12" s="2">
        <v>2</v>
      </c>
      <c r="R12" s="2" t="s">
        <v>393</v>
      </c>
      <c r="S12" s="2">
        <v>1</v>
      </c>
    </row>
    <row r="13" spans="1:19">
      <c r="A13" s="167"/>
      <c r="B13" s="2" t="s">
        <v>1390</v>
      </c>
      <c r="C13" s="2">
        <v>55</v>
      </c>
      <c r="D13" s="2" t="s">
        <v>412</v>
      </c>
      <c r="E13" s="2">
        <v>4</v>
      </c>
      <c r="F13" s="2" t="s">
        <v>273</v>
      </c>
      <c r="G13" s="2">
        <v>1</v>
      </c>
      <c r="H13" s="2"/>
      <c r="I13" s="2"/>
      <c r="K13" s="169"/>
      <c r="L13" s="2" t="s">
        <v>2944</v>
      </c>
      <c r="M13" s="2">
        <v>60</v>
      </c>
      <c r="N13" s="2" t="s">
        <v>396</v>
      </c>
      <c r="O13" s="2">
        <v>4</v>
      </c>
      <c r="P13" s="2" t="s">
        <v>410</v>
      </c>
      <c r="Q13" s="2">
        <v>1</v>
      </c>
      <c r="R13" s="2" t="s">
        <v>397</v>
      </c>
      <c r="S13" s="2">
        <v>1</v>
      </c>
    </row>
    <row r="14" spans="1:19">
      <c r="A14" s="167"/>
      <c r="B14" s="2" t="s">
        <v>1391</v>
      </c>
      <c r="C14" s="2">
        <v>60</v>
      </c>
      <c r="D14" s="2" t="s">
        <v>412</v>
      </c>
      <c r="E14" s="2">
        <v>4</v>
      </c>
      <c r="F14" s="2" t="s">
        <v>274</v>
      </c>
      <c r="G14" s="2">
        <v>2</v>
      </c>
      <c r="H14" s="2"/>
      <c r="I14" s="2"/>
      <c r="K14" s="169"/>
      <c r="L14" s="2" t="s">
        <v>2945</v>
      </c>
      <c r="M14" s="2">
        <v>65</v>
      </c>
      <c r="N14" s="2" t="s">
        <v>396</v>
      </c>
      <c r="O14" s="2">
        <v>4</v>
      </c>
      <c r="P14" s="2" t="s">
        <v>410</v>
      </c>
      <c r="Q14" s="2">
        <v>2</v>
      </c>
      <c r="R14" s="2" t="s">
        <v>397</v>
      </c>
      <c r="S14" s="2">
        <v>1</v>
      </c>
    </row>
    <row r="15" spans="1:19">
      <c r="A15" s="167"/>
      <c r="B15" s="2" t="s">
        <v>1392</v>
      </c>
      <c r="C15" s="2">
        <v>65</v>
      </c>
      <c r="D15" s="2" t="s">
        <v>410</v>
      </c>
      <c r="E15" s="2">
        <v>3</v>
      </c>
      <c r="F15" s="2" t="s">
        <v>412</v>
      </c>
      <c r="G15" s="2">
        <v>3</v>
      </c>
      <c r="H15" s="2" t="s">
        <v>1393</v>
      </c>
      <c r="I15" s="2">
        <v>1</v>
      </c>
      <c r="K15" s="169"/>
      <c r="L15" s="2" t="s">
        <v>2946</v>
      </c>
      <c r="M15" s="2">
        <v>70</v>
      </c>
      <c r="N15" s="2" t="s">
        <v>398</v>
      </c>
      <c r="O15" s="2">
        <v>3</v>
      </c>
      <c r="P15" s="2" t="s">
        <v>410</v>
      </c>
      <c r="Q15" s="2">
        <v>1</v>
      </c>
      <c r="R15" s="2" t="s">
        <v>415</v>
      </c>
      <c r="S15" s="2">
        <v>1</v>
      </c>
    </row>
    <row r="16" spans="1:19">
      <c r="A16" s="167"/>
      <c r="B16" s="2" t="s">
        <v>1394</v>
      </c>
      <c r="C16" s="2">
        <v>70</v>
      </c>
      <c r="D16" s="2" t="s">
        <v>415</v>
      </c>
      <c r="E16" s="2">
        <v>2</v>
      </c>
      <c r="F16" s="2" t="s">
        <v>412</v>
      </c>
      <c r="G16" s="2">
        <v>1</v>
      </c>
      <c r="H16" s="2" t="s">
        <v>274</v>
      </c>
      <c r="I16" s="2">
        <v>1</v>
      </c>
      <c r="K16" s="169"/>
      <c r="L16" s="2" t="s">
        <v>2947</v>
      </c>
      <c r="M16" s="2">
        <v>75</v>
      </c>
      <c r="N16" s="2" t="s">
        <v>398</v>
      </c>
      <c r="O16" s="2">
        <v>3</v>
      </c>
      <c r="P16" s="2" t="s">
        <v>410</v>
      </c>
      <c r="Q16" s="2">
        <v>1</v>
      </c>
      <c r="R16" s="2" t="s">
        <v>397</v>
      </c>
      <c r="S16" s="2">
        <v>2</v>
      </c>
    </row>
    <row r="17" spans="1:19">
      <c r="A17" s="167"/>
      <c r="B17" s="2" t="s">
        <v>1395</v>
      </c>
      <c r="C17" s="2">
        <v>75</v>
      </c>
      <c r="D17" s="2" t="s">
        <v>416</v>
      </c>
      <c r="E17" s="2">
        <v>2</v>
      </c>
      <c r="F17" s="2" t="s">
        <v>412</v>
      </c>
      <c r="G17" s="2">
        <v>2</v>
      </c>
      <c r="H17" s="2" t="s">
        <v>140</v>
      </c>
      <c r="I17" s="2">
        <v>2</v>
      </c>
      <c r="K17" s="169"/>
      <c r="L17" s="2" t="s">
        <v>2948</v>
      </c>
      <c r="M17" s="2">
        <v>80</v>
      </c>
      <c r="N17" s="2" t="s">
        <v>398</v>
      </c>
      <c r="O17" s="2">
        <v>3</v>
      </c>
      <c r="P17" s="2" t="s">
        <v>415</v>
      </c>
      <c r="Q17" s="2">
        <v>1</v>
      </c>
      <c r="R17" s="2" t="s">
        <v>397</v>
      </c>
      <c r="S17" s="2">
        <v>2</v>
      </c>
    </row>
    <row r="18" spans="1:19">
      <c r="A18" s="167"/>
      <c r="B18" s="2" t="s">
        <v>1396</v>
      </c>
      <c r="C18" s="2">
        <v>80</v>
      </c>
      <c r="D18" s="2" t="s">
        <v>417</v>
      </c>
      <c r="E18" s="2">
        <v>2</v>
      </c>
      <c r="F18" s="2" t="s">
        <v>412</v>
      </c>
      <c r="G18" s="2">
        <v>4</v>
      </c>
      <c r="H18" s="2" t="s">
        <v>140</v>
      </c>
      <c r="I18" s="2">
        <v>2</v>
      </c>
      <c r="K18" s="169"/>
      <c r="L18" s="162" t="s">
        <v>2949</v>
      </c>
      <c r="M18" s="162"/>
      <c r="N18" s="162"/>
      <c r="O18" s="162"/>
      <c r="P18" s="162"/>
      <c r="Q18" s="162"/>
      <c r="R18" s="162"/>
      <c r="S18" s="162"/>
    </row>
    <row r="19" spans="1:19">
      <c r="A19" s="167"/>
      <c r="B19" s="162" t="s">
        <v>1397</v>
      </c>
      <c r="C19" s="162"/>
      <c r="D19" s="162"/>
      <c r="E19" s="162"/>
      <c r="F19" s="162"/>
      <c r="G19" s="162"/>
      <c r="H19" s="162"/>
      <c r="I19" s="162"/>
      <c r="K19" s="169"/>
      <c r="L19" s="2" t="s">
        <v>2950</v>
      </c>
      <c r="M19" s="2">
        <v>54</v>
      </c>
      <c r="N19" s="2" t="s">
        <v>435</v>
      </c>
      <c r="O19" s="2">
        <v>1</v>
      </c>
      <c r="P19" s="2" t="s">
        <v>396</v>
      </c>
      <c r="Q19" s="2">
        <v>2</v>
      </c>
      <c r="R19" s="2" t="s">
        <v>393</v>
      </c>
      <c r="S19" s="2">
        <v>2</v>
      </c>
    </row>
    <row r="20" spans="1:19">
      <c r="A20" s="167"/>
      <c r="B20" s="2" t="s">
        <v>1398</v>
      </c>
      <c r="C20" s="2">
        <v>36</v>
      </c>
      <c r="D20" s="2" t="s">
        <v>408</v>
      </c>
      <c r="E20" s="2">
        <v>4</v>
      </c>
      <c r="F20" s="2" t="s">
        <v>1292</v>
      </c>
      <c r="G20" s="2">
        <v>1</v>
      </c>
      <c r="H20" s="2" t="s">
        <v>433</v>
      </c>
      <c r="I20" s="2">
        <v>1</v>
      </c>
      <c r="K20" s="169"/>
      <c r="L20" s="2" t="s">
        <v>2951</v>
      </c>
      <c r="M20" s="2">
        <v>56</v>
      </c>
      <c r="N20" s="2" t="s">
        <v>436</v>
      </c>
      <c r="O20" s="2">
        <v>1</v>
      </c>
      <c r="P20" s="2" t="s">
        <v>396</v>
      </c>
      <c r="Q20" s="2">
        <v>2</v>
      </c>
      <c r="R20" s="2" t="s">
        <v>393</v>
      </c>
      <c r="S20" s="2">
        <v>2</v>
      </c>
    </row>
    <row r="21" spans="1:19">
      <c r="A21" s="167"/>
      <c r="B21" s="2" t="s">
        <v>1399</v>
      </c>
      <c r="C21" s="2">
        <v>64</v>
      </c>
      <c r="D21" s="2" t="s">
        <v>412</v>
      </c>
      <c r="E21" s="2">
        <v>4</v>
      </c>
      <c r="F21" s="2" t="s">
        <v>271</v>
      </c>
      <c r="G21" s="2">
        <v>3</v>
      </c>
      <c r="H21" s="2" t="s">
        <v>1106</v>
      </c>
      <c r="I21" s="2">
        <v>1</v>
      </c>
      <c r="K21" s="169"/>
      <c r="L21" s="2" t="s">
        <v>2952</v>
      </c>
      <c r="M21" s="2">
        <v>58</v>
      </c>
      <c r="N21" s="2" t="s">
        <v>437</v>
      </c>
      <c r="O21" s="2">
        <v>1</v>
      </c>
      <c r="P21" s="2" t="s">
        <v>396</v>
      </c>
      <c r="Q21" s="2">
        <v>2</v>
      </c>
      <c r="R21" s="2" t="s">
        <v>397</v>
      </c>
      <c r="S21" s="2">
        <v>2</v>
      </c>
    </row>
    <row r="22" spans="1:19">
      <c r="A22" s="167"/>
      <c r="B22" s="2" t="s">
        <v>1400</v>
      </c>
      <c r="C22" s="2">
        <v>75</v>
      </c>
      <c r="D22" s="2" t="s">
        <v>416</v>
      </c>
      <c r="E22" s="2">
        <v>2</v>
      </c>
      <c r="F22" s="2" t="s">
        <v>274</v>
      </c>
      <c r="G22" s="2">
        <v>2</v>
      </c>
      <c r="H22" s="2" t="s">
        <v>434</v>
      </c>
      <c r="I22" s="2">
        <v>1</v>
      </c>
      <c r="K22" s="169"/>
      <c r="L22" s="2" t="s">
        <v>2953</v>
      </c>
      <c r="M22" s="2">
        <v>60</v>
      </c>
      <c r="N22" s="2" t="s">
        <v>438</v>
      </c>
      <c r="O22" s="2">
        <v>1</v>
      </c>
      <c r="P22" s="2" t="s">
        <v>398</v>
      </c>
      <c r="Q22" s="2">
        <v>2</v>
      </c>
      <c r="R22" s="2" t="s">
        <v>397</v>
      </c>
      <c r="S22" s="2">
        <v>2</v>
      </c>
    </row>
    <row r="23" spans="1:19">
      <c r="A23" s="167"/>
      <c r="B23" s="2" t="s">
        <v>1401</v>
      </c>
      <c r="C23" s="2">
        <v>50</v>
      </c>
      <c r="D23" s="2" t="s">
        <v>418</v>
      </c>
      <c r="E23" s="2">
        <v>3</v>
      </c>
      <c r="F23" s="2" t="s">
        <v>141</v>
      </c>
      <c r="G23" s="2">
        <v>2</v>
      </c>
      <c r="H23" s="2" t="s">
        <v>447</v>
      </c>
      <c r="I23" s="2">
        <v>1</v>
      </c>
      <c r="K23" s="169"/>
      <c r="L23" s="2" t="s">
        <v>2954</v>
      </c>
      <c r="M23" s="2">
        <v>62</v>
      </c>
      <c r="N23" s="2" t="s">
        <v>439</v>
      </c>
      <c r="O23" s="2">
        <v>1</v>
      </c>
      <c r="P23" s="2" t="s">
        <v>398</v>
      </c>
      <c r="Q23" s="2">
        <v>2</v>
      </c>
      <c r="R23" s="2" t="s">
        <v>397</v>
      </c>
      <c r="S23" s="2">
        <v>2</v>
      </c>
    </row>
    <row r="24" spans="1:19">
      <c r="A24" s="167"/>
      <c r="B24" s="2" t="s">
        <v>1402</v>
      </c>
      <c r="C24" s="2">
        <v>60</v>
      </c>
      <c r="D24" s="2" t="s">
        <v>1107</v>
      </c>
      <c r="E24" s="2">
        <v>3</v>
      </c>
      <c r="F24" s="2" t="s">
        <v>142</v>
      </c>
      <c r="G24" s="2">
        <v>4</v>
      </c>
      <c r="H24" s="2" t="s">
        <v>448</v>
      </c>
      <c r="I24" s="2">
        <v>1</v>
      </c>
      <c r="K24" s="169"/>
      <c r="L24" s="2" t="s">
        <v>2955</v>
      </c>
      <c r="M24" s="2">
        <v>64</v>
      </c>
      <c r="N24" s="2" t="s">
        <v>440</v>
      </c>
      <c r="O24" s="2">
        <v>1</v>
      </c>
      <c r="P24" s="2" t="s">
        <v>398</v>
      </c>
      <c r="Q24" s="2">
        <v>2</v>
      </c>
      <c r="R24" s="2" t="s">
        <v>397</v>
      </c>
      <c r="S24" s="2">
        <v>2</v>
      </c>
    </row>
    <row r="25" spans="1:19">
      <c r="A25" s="167"/>
      <c r="B25" s="2" t="s">
        <v>1403</v>
      </c>
      <c r="C25" s="2">
        <v>75</v>
      </c>
      <c r="D25" s="2" t="s">
        <v>421</v>
      </c>
      <c r="E25" s="2">
        <v>4</v>
      </c>
      <c r="F25" s="2" t="s">
        <v>143</v>
      </c>
      <c r="G25" s="2">
        <v>5</v>
      </c>
      <c r="H25" s="2" t="s">
        <v>449</v>
      </c>
      <c r="I25" s="2">
        <v>2</v>
      </c>
      <c r="K25" s="169"/>
      <c r="L25" s="2" t="s">
        <v>2956</v>
      </c>
      <c r="M25" s="2">
        <v>66</v>
      </c>
      <c r="N25" s="2" t="s">
        <v>441</v>
      </c>
      <c r="O25" s="2">
        <v>1</v>
      </c>
      <c r="P25" s="2" t="s">
        <v>398</v>
      </c>
      <c r="Q25" s="2">
        <v>2</v>
      </c>
      <c r="R25" s="2" t="s">
        <v>397</v>
      </c>
      <c r="S25" s="2">
        <v>2</v>
      </c>
    </row>
    <row r="26" spans="1:19">
      <c r="A26" s="167"/>
      <c r="B26" s="2" t="s">
        <v>1404</v>
      </c>
      <c r="C26" s="2">
        <v>85</v>
      </c>
      <c r="D26" s="2" t="s">
        <v>405</v>
      </c>
      <c r="E26" s="2">
        <v>2</v>
      </c>
      <c r="F26" s="2" t="s">
        <v>447</v>
      </c>
      <c r="G26" s="2">
        <v>1</v>
      </c>
      <c r="H26" s="2" t="s">
        <v>275</v>
      </c>
      <c r="I26" s="2">
        <v>1</v>
      </c>
      <c r="K26" s="169"/>
      <c r="L26" s="2" t="s">
        <v>2957</v>
      </c>
      <c r="M26" s="2">
        <v>50</v>
      </c>
      <c r="N26" s="2" t="s">
        <v>447</v>
      </c>
      <c r="O26" s="2">
        <v>2</v>
      </c>
      <c r="P26" s="2" t="s">
        <v>399</v>
      </c>
      <c r="Q26" s="2">
        <v>5</v>
      </c>
      <c r="R26" s="2"/>
      <c r="S26" s="2"/>
    </row>
    <row r="27" spans="1:19">
      <c r="A27" s="167"/>
      <c r="B27" s="2" t="s">
        <v>1405</v>
      </c>
      <c r="C27" s="2">
        <v>90</v>
      </c>
      <c r="D27" s="2" t="s">
        <v>423</v>
      </c>
      <c r="E27" s="2">
        <v>2</v>
      </c>
      <c r="F27" s="2" t="s">
        <v>448</v>
      </c>
      <c r="G27" s="2">
        <v>1</v>
      </c>
      <c r="H27" s="2" t="s">
        <v>276</v>
      </c>
      <c r="I27" s="2">
        <v>1</v>
      </c>
      <c r="K27" s="169"/>
      <c r="L27" s="2" t="s">
        <v>2958</v>
      </c>
      <c r="M27" s="2">
        <v>65</v>
      </c>
      <c r="N27" s="2" t="s">
        <v>142</v>
      </c>
      <c r="O27" s="2">
        <v>5</v>
      </c>
      <c r="P27" s="2" t="s">
        <v>400</v>
      </c>
      <c r="Q27" s="2">
        <v>4</v>
      </c>
      <c r="R27" s="2" t="s">
        <v>399</v>
      </c>
      <c r="S27" s="2">
        <v>4</v>
      </c>
    </row>
    <row r="28" spans="1:19">
      <c r="A28" s="167"/>
      <c r="B28" s="2" t="s">
        <v>1406</v>
      </c>
      <c r="C28" s="2">
        <v>95</v>
      </c>
      <c r="D28" s="2" t="s">
        <v>424</v>
      </c>
      <c r="E28" s="2">
        <v>2</v>
      </c>
      <c r="F28" s="2" t="s">
        <v>449</v>
      </c>
      <c r="G28" s="2">
        <v>1</v>
      </c>
      <c r="H28" s="2" t="s">
        <v>277</v>
      </c>
      <c r="I28" s="2">
        <v>1</v>
      </c>
      <c r="K28" s="169"/>
      <c r="L28" s="2" t="s">
        <v>2959</v>
      </c>
      <c r="M28" s="2">
        <v>75</v>
      </c>
      <c r="N28" s="2" t="s">
        <v>449</v>
      </c>
      <c r="O28" s="2">
        <v>2</v>
      </c>
      <c r="P28" s="2" t="s">
        <v>401</v>
      </c>
      <c r="Q28" s="2">
        <v>6</v>
      </c>
      <c r="R28" s="2" t="s">
        <v>421</v>
      </c>
      <c r="S28" s="2">
        <v>2</v>
      </c>
    </row>
    <row r="29" spans="1:19">
      <c r="A29" s="167"/>
      <c r="B29" s="2" t="s">
        <v>2403</v>
      </c>
      <c r="C29" s="2">
        <v>110</v>
      </c>
      <c r="D29" s="2" t="s">
        <v>1790</v>
      </c>
      <c r="E29" s="2">
        <v>2</v>
      </c>
      <c r="F29" s="2" t="s">
        <v>575</v>
      </c>
      <c r="G29" s="2">
        <v>1</v>
      </c>
      <c r="H29" s="2" t="s">
        <v>1756</v>
      </c>
      <c r="I29" s="2">
        <v>1</v>
      </c>
      <c r="K29" s="169"/>
      <c r="L29" s="2" t="s">
        <v>2960</v>
      </c>
      <c r="M29" s="2">
        <v>85</v>
      </c>
      <c r="N29" s="2" t="s">
        <v>575</v>
      </c>
      <c r="O29" s="2">
        <v>1</v>
      </c>
      <c r="P29" s="2" t="s">
        <v>402</v>
      </c>
      <c r="Q29" s="2">
        <v>1</v>
      </c>
      <c r="R29" s="2" t="s">
        <v>400</v>
      </c>
      <c r="S29" s="2">
        <v>1</v>
      </c>
    </row>
    <row r="30" spans="1:19">
      <c r="A30" s="167"/>
      <c r="B30" s="2" t="s">
        <v>2404</v>
      </c>
      <c r="C30" s="2">
        <v>120</v>
      </c>
      <c r="D30" s="2" t="s">
        <v>1791</v>
      </c>
      <c r="E30" s="2">
        <v>2</v>
      </c>
      <c r="F30" s="2" t="s">
        <v>576</v>
      </c>
      <c r="G30" s="2">
        <v>1</v>
      </c>
      <c r="H30" s="2" t="s">
        <v>1757</v>
      </c>
      <c r="I30" s="2">
        <v>1</v>
      </c>
      <c r="K30" s="169"/>
      <c r="L30" s="2" t="s">
        <v>2961</v>
      </c>
      <c r="M30" s="2">
        <v>90</v>
      </c>
      <c r="N30" s="2" t="s">
        <v>576</v>
      </c>
      <c r="O30" s="2">
        <v>1</v>
      </c>
      <c r="P30" s="2" t="s">
        <v>403</v>
      </c>
      <c r="Q30" s="2">
        <v>1</v>
      </c>
      <c r="R30" s="2" t="s">
        <v>400</v>
      </c>
      <c r="S30" s="2">
        <v>1</v>
      </c>
    </row>
    <row r="31" spans="1:19">
      <c r="A31" s="167"/>
      <c r="B31" s="2" t="s">
        <v>2405</v>
      </c>
      <c r="C31" s="2">
        <v>130</v>
      </c>
      <c r="D31" s="2" t="s">
        <v>1792</v>
      </c>
      <c r="E31" s="2">
        <v>2</v>
      </c>
      <c r="F31" s="2" t="s">
        <v>1066</v>
      </c>
      <c r="G31" s="2">
        <v>1</v>
      </c>
      <c r="H31" s="2" t="s">
        <v>1758</v>
      </c>
      <c r="I31" s="2">
        <v>1</v>
      </c>
      <c r="K31" s="169"/>
      <c r="L31" s="2" t="s">
        <v>2962</v>
      </c>
      <c r="M31" s="2">
        <v>95</v>
      </c>
      <c r="N31" s="2" t="s">
        <v>1066</v>
      </c>
      <c r="O31" s="2">
        <v>1</v>
      </c>
      <c r="P31" s="2" t="s">
        <v>404</v>
      </c>
      <c r="Q31" s="2">
        <v>1</v>
      </c>
      <c r="R31" s="2" t="s">
        <v>400</v>
      </c>
      <c r="S31" s="2">
        <v>1</v>
      </c>
    </row>
    <row r="32" spans="1:19">
      <c r="A32" s="167"/>
      <c r="B32" s="2" t="s">
        <v>1871</v>
      </c>
      <c r="C32" s="2">
        <v>140</v>
      </c>
      <c r="D32" s="2" t="s">
        <v>1820</v>
      </c>
      <c r="E32" s="2">
        <v>2</v>
      </c>
      <c r="F32" s="2" t="s">
        <v>1823</v>
      </c>
      <c r="G32" s="2">
        <v>1</v>
      </c>
      <c r="H32" s="2" t="s">
        <v>1758</v>
      </c>
      <c r="I32" s="2">
        <v>1</v>
      </c>
      <c r="K32" s="169"/>
      <c r="L32" s="2" t="s">
        <v>2418</v>
      </c>
      <c r="M32" s="2">
        <v>110</v>
      </c>
      <c r="N32" s="2" t="s">
        <v>1793</v>
      </c>
      <c r="O32" s="2">
        <v>1</v>
      </c>
      <c r="P32" s="2" t="s">
        <v>1787</v>
      </c>
      <c r="Q32" s="2">
        <v>1</v>
      </c>
      <c r="R32" s="2" t="s">
        <v>400</v>
      </c>
      <c r="S32" s="2">
        <v>1</v>
      </c>
    </row>
    <row r="33" spans="1:19">
      <c r="A33" s="167"/>
      <c r="B33" s="2" t="s">
        <v>1872</v>
      </c>
      <c r="C33" s="2">
        <v>150</v>
      </c>
      <c r="D33" s="2" t="s">
        <v>1820</v>
      </c>
      <c r="E33" s="2">
        <v>2</v>
      </c>
      <c r="F33" s="2" t="s">
        <v>1824</v>
      </c>
      <c r="G33" s="2">
        <v>1</v>
      </c>
      <c r="H33" s="2" t="s">
        <v>1758</v>
      </c>
      <c r="I33" s="2">
        <v>1</v>
      </c>
      <c r="K33" s="169"/>
      <c r="L33" s="2" t="s">
        <v>2419</v>
      </c>
      <c r="M33" s="2">
        <v>120</v>
      </c>
      <c r="N33" s="2" t="s">
        <v>1794</v>
      </c>
      <c r="O33" s="2">
        <v>1</v>
      </c>
      <c r="P33" s="2" t="s">
        <v>1788</v>
      </c>
      <c r="Q33" s="2">
        <v>1</v>
      </c>
      <c r="R33" s="2" t="s">
        <v>400</v>
      </c>
      <c r="S33" s="2">
        <v>1</v>
      </c>
    </row>
    <row r="34" spans="1:19">
      <c r="A34" s="167"/>
      <c r="B34" s="2"/>
      <c r="C34" s="2">
        <v>160</v>
      </c>
      <c r="D34" s="2"/>
      <c r="E34" s="2"/>
      <c r="F34" s="2"/>
      <c r="G34" s="2"/>
      <c r="H34" s="2"/>
      <c r="I34" s="2"/>
      <c r="K34" s="169"/>
      <c r="L34" s="2" t="s">
        <v>2420</v>
      </c>
      <c r="M34" s="2">
        <v>130</v>
      </c>
      <c r="N34" s="2" t="s">
        <v>1795</v>
      </c>
      <c r="O34" s="2">
        <v>1</v>
      </c>
      <c r="P34" s="2" t="s">
        <v>1789</v>
      </c>
      <c r="Q34" s="2">
        <v>1</v>
      </c>
      <c r="R34" s="2" t="s">
        <v>400</v>
      </c>
      <c r="S34" s="2">
        <v>1</v>
      </c>
    </row>
    <row r="35" spans="1:19">
      <c r="K35" s="169"/>
      <c r="L35" s="2" t="s">
        <v>1891</v>
      </c>
      <c r="M35" s="2">
        <v>140</v>
      </c>
      <c r="N35" s="2" t="s">
        <v>1823</v>
      </c>
      <c r="O35" s="2">
        <v>1</v>
      </c>
      <c r="P35" s="2" t="s">
        <v>1789</v>
      </c>
      <c r="Q35" s="2">
        <v>1</v>
      </c>
      <c r="R35" s="2" t="s">
        <v>402</v>
      </c>
      <c r="S35" s="2">
        <v>1</v>
      </c>
    </row>
    <row r="36" spans="1:19">
      <c r="A36" s="167" t="s">
        <v>1407</v>
      </c>
      <c r="B36" s="2" t="s">
        <v>1408</v>
      </c>
      <c r="C36" s="2">
        <v>1</v>
      </c>
      <c r="D36" s="2" t="s">
        <v>388</v>
      </c>
      <c r="E36" s="2">
        <v>1</v>
      </c>
      <c r="F36" s="2" t="s">
        <v>387</v>
      </c>
      <c r="G36" s="2">
        <v>1</v>
      </c>
      <c r="H36" s="2"/>
      <c r="I36" s="2"/>
      <c r="K36" s="169"/>
      <c r="L36" s="2" t="s">
        <v>1892</v>
      </c>
      <c r="M36" s="2">
        <v>150</v>
      </c>
      <c r="N36" s="2" t="s">
        <v>1823</v>
      </c>
      <c r="O36" s="2">
        <v>1</v>
      </c>
      <c r="P36" s="2" t="s">
        <v>1818</v>
      </c>
      <c r="Q36" s="2">
        <v>1</v>
      </c>
      <c r="R36" s="2" t="s">
        <v>402</v>
      </c>
      <c r="S36" s="2">
        <v>1</v>
      </c>
    </row>
    <row r="37" spans="1:19">
      <c r="A37" s="167"/>
      <c r="B37" s="2" t="s">
        <v>1409</v>
      </c>
      <c r="C37" s="2">
        <v>5</v>
      </c>
      <c r="D37" s="2" t="s">
        <v>388</v>
      </c>
      <c r="E37" s="2">
        <v>2</v>
      </c>
      <c r="F37" s="2" t="s">
        <v>387</v>
      </c>
      <c r="G37" s="2">
        <v>1</v>
      </c>
      <c r="H37" s="2"/>
      <c r="I37" s="2"/>
      <c r="K37" s="170"/>
      <c r="L37" s="2" t="s">
        <v>1893</v>
      </c>
      <c r="M37" s="2">
        <v>160</v>
      </c>
      <c r="N37" s="2" t="s">
        <v>1824</v>
      </c>
      <c r="O37" s="2">
        <v>1</v>
      </c>
      <c r="P37" s="2" t="s">
        <v>1819</v>
      </c>
      <c r="Q37" s="2">
        <v>1</v>
      </c>
      <c r="R37" s="2" t="s">
        <v>402</v>
      </c>
      <c r="S37" s="2">
        <v>1</v>
      </c>
    </row>
    <row r="38" spans="1:19">
      <c r="A38" s="167"/>
      <c r="B38" s="2" t="s">
        <v>1410</v>
      </c>
      <c r="C38" s="2">
        <v>10</v>
      </c>
      <c r="D38" s="2" t="s">
        <v>1289</v>
      </c>
      <c r="E38" s="2">
        <v>2</v>
      </c>
      <c r="F38" s="2" t="s">
        <v>390</v>
      </c>
      <c r="G38" s="2">
        <v>2</v>
      </c>
      <c r="H38" s="2"/>
      <c r="I38" s="2"/>
    </row>
    <row r="39" spans="1:19" ht="14.25" customHeight="1">
      <c r="A39" s="167"/>
      <c r="B39" s="2" t="s">
        <v>1411</v>
      </c>
      <c r="C39" s="2">
        <v>15</v>
      </c>
      <c r="D39" s="2" t="s">
        <v>1289</v>
      </c>
      <c r="E39" s="2">
        <v>3</v>
      </c>
      <c r="F39" s="2" t="s">
        <v>390</v>
      </c>
      <c r="G39" s="2">
        <v>2</v>
      </c>
      <c r="H39" s="2"/>
      <c r="I39" s="2"/>
      <c r="K39" s="168" t="s">
        <v>2963</v>
      </c>
      <c r="L39" s="2" t="s">
        <v>2964</v>
      </c>
      <c r="M39" s="2">
        <v>1</v>
      </c>
      <c r="N39" s="2" t="s">
        <v>1289</v>
      </c>
      <c r="O39" s="2">
        <v>3</v>
      </c>
      <c r="P39" s="2" t="s">
        <v>388</v>
      </c>
      <c r="Q39" s="2">
        <v>1</v>
      </c>
      <c r="R39" s="2"/>
      <c r="S39" s="2"/>
    </row>
    <row r="40" spans="1:19">
      <c r="A40" s="167"/>
      <c r="B40" s="2" t="s">
        <v>1412</v>
      </c>
      <c r="C40" s="2">
        <v>20</v>
      </c>
      <c r="D40" s="2" t="s">
        <v>1292</v>
      </c>
      <c r="E40" s="2">
        <v>3</v>
      </c>
      <c r="F40" s="2" t="s">
        <v>390</v>
      </c>
      <c r="G40" s="2">
        <v>2</v>
      </c>
      <c r="H40" s="2"/>
      <c r="I40" s="2"/>
      <c r="K40" s="169"/>
      <c r="L40" s="2" t="s">
        <v>2965</v>
      </c>
      <c r="M40" s="2">
        <v>5</v>
      </c>
      <c r="N40" s="2" t="s">
        <v>1289</v>
      </c>
      <c r="O40" s="2">
        <v>4</v>
      </c>
      <c r="P40" s="2" t="s">
        <v>388</v>
      </c>
      <c r="Q40" s="2">
        <v>2</v>
      </c>
      <c r="R40" s="2"/>
      <c r="S40" s="2"/>
    </row>
    <row r="41" spans="1:19">
      <c r="A41" s="167"/>
      <c r="B41" s="2" t="s">
        <v>1413</v>
      </c>
      <c r="C41" s="2">
        <v>25</v>
      </c>
      <c r="D41" s="2" t="s">
        <v>1292</v>
      </c>
      <c r="E41" s="2">
        <v>2</v>
      </c>
      <c r="F41" s="2" t="s">
        <v>392</v>
      </c>
      <c r="G41" s="2">
        <v>1</v>
      </c>
      <c r="H41" s="2"/>
      <c r="I41" s="2"/>
      <c r="K41" s="169"/>
      <c r="L41" s="2" t="s">
        <v>2966</v>
      </c>
      <c r="M41" s="2">
        <v>10</v>
      </c>
      <c r="N41" s="2" t="s">
        <v>1292</v>
      </c>
      <c r="O41" s="2">
        <v>6</v>
      </c>
      <c r="P41" s="2" t="s">
        <v>389</v>
      </c>
      <c r="Q41" s="2">
        <v>3</v>
      </c>
      <c r="R41" s="2"/>
      <c r="S41" s="2"/>
    </row>
    <row r="42" spans="1:19">
      <c r="A42" s="167"/>
      <c r="B42" s="2" t="s">
        <v>1414</v>
      </c>
      <c r="C42" s="2">
        <v>30</v>
      </c>
      <c r="D42" s="2" t="s">
        <v>1292</v>
      </c>
      <c r="E42" s="2">
        <v>3</v>
      </c>
      <c r="F42" s="2" t="s">
        <v>392</v>
      </c>
      <c r="G42" s="2">
        <v>1</v>
      </c>
      <c r="H42" s="2"/>
      <c r="I42" s="2"/>
      <c r="K42" s="169"/>
      <c r="L42" s="2" t="s">
        <v>2967</v>
      </c>
      <c r="M42" s="2">
        <v>15</v>
      </c>
      <c r="N42" s="2" t="s">
        <v>1292</v>
      </c>
      <c r="O42" s="2">
        <v>6</v>
      </c>
      <c r="P42" s="2" t="s">
        <v>390</v>
      </c>
      <c r="Q42" s="2">
        <v>3</v>
      </c>
      <c r="R42" s="2"/>
      <c r="S42" s="2"/>
    </row>
    <row r="43" spans="1:19">
      <c r="A43" s="167"/>
      <c r="B43" s="2" t="s">
        <v>1415</v>
      </c>
      <c r="C43" s="2">
        <v>35</v>
      </c>
      <c r="D43" s="2" t="s">
        <v>1297</v>
      </c>
      <c r="E43" s="2">
        <v>2</v>
      </c>
      <c r="F43" s="2" t="s">
        <v>392</v>
      </c>
      <c r="G43" s="2">
        <v>2</v>
      </c>
      <c r="H43" s="2"/>
      <c r="I43" s="2"/>
      <c r="K43" s="169"/>
      <c r="L43" s="2" t="s">
        <v>2968</v>
      </c>
      <c r="M43" s="2">
        <v>20</v>
      </c>
      <c r="N43" s="2" t="s">
        <v>1297</v>
      </c>
      <c r="O43" s="2">
        <v>6</v>
      </c>
      <c r="P43" s="2" t="s">
        <v>390</v>
      </c>
      <c r="Q43" s="2">
        <v>4</v>
      </c>
      <c r="R43" s="2"/>
      <c r="S43" s="2"/>
    </row>
    <row r="44" spans="1:19">
      <c r="A44" s="167"/>
      <c r="B44" s="2" t="s">
        <v>1416</v>
      </c>
      <c r="C44" s="2">
        <v>40</v>
      </c>
      <c r="D44" s="2" t="s">
        <v>1297</v>
      </c>
      <c r="E44" s="2">
        <v>2</v>
      </c>
      <c r="F44" s="2" t="s">
        <v>394</v>
      </c>
      <c r="G44" s="2">
        <v>2</v>
      </c>
      <c r="H44" s="2"/>
      <c r="I44" s="2"/>
      <c r="K44" s="169"/>
      <c r="L44" s="2" t="s">
        <v>2969</v>
      </c>
      <c r="M44" s="2">
        <v>25</v>
      </c>
      <c r="N44" s="2" t="s">
        <v>1297</v>
      </c>
      <c r="O44" s="2">
        <v>4</v>
      </c>
      <c r="P44" s="2" t="s">
        <v>392</v>
      </c>
      <c r="Q44" s="2">
        <v>3</v>
      </c>
      <c r="R44" s="2"/>
      <c r="S44" s="2"/>
    </row>
    <row r="45" spans="1:19">
      <c r="A45" s="167"/>
      <c r="B45" s="2" t="s">
        <v>1417</v>
      </c>
      <c r="C45" s="2">
        <v>45</v>
      </c>
      <c r="D45" s="2" t="s">
        <v>269</v>
      </c>
      <c r="E45" s="2">
        <v>2</v>
      </c>
      <c r="F45" s="2" t="s">
        <v>1289</v>
      </c>
      <c r="G45" s="2">
        <v>1</v>
      </c>
      <c r="H45" s="2" t="s">
        <v>394</v>
      </c>
      <c r="I45" s="2">
        <v>2</v>
      </c>
      <c r="K45" s="169"/>
      <c r="L45" s="2" t="s">
        <v>2970</v>
      </c>
      <c r="M45" s="2">
        <v>30</v>
      </c>
      <c r="N45" s="2" t="s">
        <v>269</v>
      </c>
      <c r="O45" s="2">
        <v>5</v>
      </c>
      <c r="P45" s="2" t="s">
        <v>392</v>
      </c>
      <c r="Q45" s="2">
        <v>3</v>
      </c>
      <c r="R45" s="2"/>
      <c r="S45" s="2"/>
    </row>
    <row r="46" spans="1:19">
      <c r="A46" s="167"/>
      <c r="B46" s="2" t="s">
        <v>1418</v>
      </c>
      <c r="C46" s="2">
        <v>50</v>
      </c>
      <c r="D46" s="2" t="s">
        <v>269</v>
      </c>
      <c r="E46" s="2">
        <v>2</v>
      </c>
      <c r="F46" s="2" t="s">
        <v>1292</v>
      </c>
      <c r="G46" s="2">
        <v>2</v>
      </c>
      <c r="H46" s="2" t="s">
        <v>394</v>
      </c>
      <c r="I46" s="2">
        <v>2</v>
      </c>
      <c r="K46" s="169"/>
      <c r="L46" s="2" t="s">
        <v>2971</v>
      </c>
      <c r="M46" s="2">
        <v>35</v>
      </c>
      <c r="N46" s="2" t="s">
        <v>269</v>
      </c>
      <c r="O46" s="2">
        <v>5</v>
      </c>
      <c r="P46" s="2" t="s">
        <v>394</v>
      </c>
      <c r="Q46" s="2">
        <v>3</v>
      </c>
      <c r="R46" s="2"/>
      <c r="S46" s="2"/>
    </row>
    <row r="47" spans="1:19">
      <c r="A47" s="167"/>
      <c r="B47" s="2" t="s">
        <v>1419</v>
      </c>
      <c r="C47" s="2">
        <v>55</v>
      </c>
      <c r="D47" s="2" t="s">
        <v>273</v>
      </c>
      <c r="E47" s="2">
        <v>2</v>
      </c>
      <c r="F47" s="2" t="s">
        <v>1292</v>
      </c>
      <c r="G47" s="2">
        <v>1</v>
      </c>
      <c r="H47" s="2" t="s">
        <v>394</v>
      </c>
      <c r="I47" s="2">
        <v>2</v>
      </c>
      <c r="K47" s="169"/>
      <c r="L47" s="2" t="s">
        <v>2972</v>
      </c>
      <c r="M47" s="2">
        <v>40</v>
      </c>
      <c r="N47" s="2" t="s">
        <v>271</v>
      </c>
      <c r="O47" s="2">
        <v>5</v>
      </c>
      <c r="P47" s="2" t="s">
        <v>394</v>
      </c>
      <c r="Q47" s="2">
        <v>4</v>
      </c>
      <c r="R47" s="2"/>
      <c r="S47" s="2"/>
    </row>
    <row r="48" spans="1:19">
      <c r="A48" s="167"/>
      <c r="B48" s="2" t="s">
        <v>1420</v>
      </c>
      <c r="C48" s="2">
        <v>60</v>
      </c>
      <c r="D48" s="2" t="s">
        <v>273</v>
      </c>
      <c r="E48" s="2">
        <v>2</v>
      </c>
      <c r="F48" s="2" t="s">
        <v>1292</v>
      </c>
      <c r="G48" s="2">
        <v>1</v>
      </c>
      <c r="H48" s="2" t="s">
        <v>396</v>
      </c>
      <c r="I48" s="2">
        <v>2</v>
      </c>
      <c r="K48" s="169"/>
      <c r="L48" s="2" t="s">
        <v>2973</v>
      </c>
      <c r="M48" s="2">
        <v>45</v>
      </c>
      <c r="N48" s="2" t="s">
        <v>271</v>
      </c>
      <c r="O48" s="2">
        <v>5</v>
      </c>
      <c r="P48" s="2" t="s">
        <v>394</v>
      </c>
      <c r="Q48" s="2">
        <v>5</v>
      </c>
      <c r="R48" s="2"/>
      <c r="S48" s="2"/>
    </row>
    <row r="49" spans="1:19">
      <c r="A49" s="167"/>
      <c r="B49" s="2" t="s">
        <v>1421</v>
      </c>
      <c r="C49" s="2">
        <v>65</v>
      </c>
      <c r="D49" s="2" t="s">
        <v>274</v>
      </c>
      <c r="E49" s="2">
        <v>2</v>
      </c>
      <c r="F49" s="2" t="s">
        <v>1292</v>
      </c>
      <c r="G49" s="2">
        <v>1</v>
      </c>
      <c r="H49" s="2" t="s">
        <v>396</v>
      </c>
      <c r="I49" s="2">
        <v>3</v>
      </c>
      <c r="K49" s="169"/>
      <c r="L49" s="2" t="s">
        <v>2974</v>
      </c>
      <c r="M49" s="2">
        <v>50</v>
      </c>
      <c r="N49" s="2" t="s">
        <v>273</v>
      </c>
      <c r="O49" s="2">
        <v>4</v>
      </c>
      <c r="P49" s="2" t="s">
        <v>396</v>
      </c>
      <c r="Q49" s="2">
        <v>5</v>
      </c>
      <c r="R49" s="2"/>
      <c r="S49" s="2"/>
    </row>
    <row r="50" spans="1:19">
      <c r="A50" s="167"/>
      <c r="B50" s="2" t="s">
        <v>1422</v>
      </c>
      <c r="C50" s="2">
        <v>70</v>
      </c>
      <c r="D50" s="2" t="s">
        <v>274</v>
      </c>
      <c r="E50" s="2">
        <v>2</v>
      </c>
      <c r="F50" s="2" t="s">
        <v>1292</v>
      </c>
      <c r="G50" s="2">
        <v>2</v>
      </c>
      <c r="H50" s="2" t="s">
        <v>398</v>
      </c>
      <c r="I50" s="2">
        <v>2</v>
      </c>
      <c r="K50" s="169"/>
      <c r="L50" s="2" t="s">
        <v>2975</v>
      </c>
      <c r="M50" s="2">
        <v>55</v>
      </c>
      <c r="N50" s="2" t="s">
        <v>273</v>
      </c>
      <c r="O50" s="2">
        <v>4</v>
      </c>
      <c r="P50" s="2" t="s">
        <v>396</v>
      </c>
      <c r="Q50" s="2">
        <v>4</v>
      </c>
      <c r="R50" s="2" t="s">
        <v>394</v>
      </c>
      <c r="S50" s="2">
        <v>2</v>
      </c>
    </row>
    <row r="51" spans="1:19">
      <c r="A51" s="167"/>
      <c r="B51" s="2" t="s">
        <v>1423</v>
      </c>
      <c r="C51" s="2">
        <v>75</v>
      </c>
      <c r="D51" s="2" t="s">
        <v>140</v>
      </c>
      <c r="E51" s="2">
        <v>2</v>
      </c>
      <c r="F51" s="2" t="s">
        <v>269</v>
      </c>
      <c r="G51" s="2">
        <v>2</v>
      </c>
      <c r="H51" s="2" t="s">
        <v>398</v>
      </c>
      <c r="I51" s="2">
        <v>2</v>
      </c>
      <c r="K51" s="169"/>
      <c r="L51" s="2" t="s">
        <v>2976</v>
      </c>
      <c r="M51" s="2">
        <v>60</v>
      </c>
      <c r="N51" s="2" t="s">
        <v>273</v>
      </c>
      <c r="O51" s="2">
        <v>4</v>
      </c>
      <c r="P51" s="2" t="s">
        <v>396</v>
      </c>
      <c r="Q51" s="2">
        <v>4</v>
      </c>
      <c r="R51" s="2" t="s">
        <v>398</v>
      </c>
      <c r="S51" s="2">
        <v>1</v>
      </c>
    </row>
    <row r="52" spans="1:19">
      <c r="A52" s="167"/>
      <c r="B52" s="2" t="s">
        <v>1424</v>
      </c>
      <c r="C52" s="2">
        <v>80</v>
      </c>
      <c r="D52" s="2" t="s">
        <v>140</v>
      </c>
      <c r="E52" s="2">
        <v>2</v>
      </c>
      <c r="F52" s="2" t="s">
        <v>274</v>
      </c>
      <c r="G52" s="2">
        <v>1</v>
      </c>
      <c r="H52" s="2" t="s">
        <v>398</v>
      </c>
      <c r="I52" s="2">
        <v>2</v>
      </c>
      <c r="K52" s="169"/>
      <c r="L52" s="2" t="s">
        <v>2977</v>
      </c>
      <c r="M52" s="2">
        <v>65</v>
      </c>
      <c r="N52" s="2" t="s">
        <v>274</v>
      </c>
      <c r="O52" s="2">
        <v>3</v>
      </c>
      <c r="P52" s="2" t="s">
        <v>398</v>
      </c>
      <c r="Q52" s="2">
        <v>3</v>
      </c>
      <c r="R52" s="2"/>
      <c r="S52" s="2"/>
    </row>
    <row r="53" spans="1:19">
      <c r="A53" s="167"/>
      <c r="B53" s="162" t="s">
        <v>1425</v>
      </c>
      <c r="C53" s="162"/>
      <c r="D53" s="162"/>
      <c r="E53" s="162"/>
      <c r="F53" s="162"/>
      <c r="G53" s="162"/>
      <c r="H53" s="162"/>
      <c r="I53" s="162"/>
      <c r="K53" s="169"/>
      <c r="L53" s="2" t="s">
        <v>2978</v>
      </c>
      <c r="M53" s="2">
        <v>70</v>
      </c>
      <c r="N53" s="2" t="s">
        <v>274</v>
      </c>
      <c r="O53" s="2">
        <v>3</v>
      </c>
      <c r="P53" s="2" t="s">
        <v>398</v>
      </c>
      <c r="Q53" s="2">
        <v>3</v>
      </c>
      <c r="R53" s="2" t="s">
        <v>410</v>
      </c>
      <c r="S53" s="2">
        <v>1</v>
      </c>
    </row>
    <row r="54" spans="1:19">
      <c r="A54" s="167"/>
      <c r="B54" s="2" t="s">
        <v>1426</v>
      </c>
      <c r="C54" s="2">
        <v>35</v>
      </c>
      <c r="D54" s="2" t="s">
        <v>426</v>
      </c>
      <c r="E54" s="2">
        <v>1</v>
      </c>
      <c r="F54" s="2" t="s">
        <v>269</v>
      </c>
      <c r="G54" s="2">
        <v>2</v>
      </c>
      <c r="H54" s="2" t="s">
        <v>390</v>
      </c>
      <c r="I54" s="2">
        <v>3</v>
      </c>
      <c r="K54" s="169"/>
      <c r="L54" s="2" t="s">
        <v>2979</v>
      </c>
      <c r="M54" s="2">
        <v>75</v>
      </c>
      <c r="N54" s="2" t="s">
        <v>140</v>
      </c>
      <c r="O54" s="2">
        <v>4</v>
      </c>
      <c r="P54" s="2" t="s">
        <v>398</v>
      </c>
      <c r="Q54" s="2">
        <v>3</v>
      </c>
      <c r="R54" s="2"/>
      <c r="S54" s="2"/>
    </row>
    <row r="55" spans="1:19">
      <c r="A55" s="167"/>
      <c r="B55" s="2" t="s">
        <v>1427</v>
      </c>
      <c r="C55" s="2">
        <v>40</v>
      </c>
      <c r="D55" s="2" t="s">
        <v>427</v>
      </c>
      <c r="E55" s="2">
        <v>1</v>
      </c>
      <c r="F55" s="2" t="s">
        <v>425</v>
      </c>
      <c r="G55" s="2">
        <v>1</v>
      </c>
      <c r="H55" s="2" t="s">
        <v>394</v>
      </c>
      <c r="I55" s="2">
        <v>2</v>
      </c>
      <c r="K55" s="169"/>
      <c r="L55" s="2" t="s">
        <v>2980</v>
      </c>
      <c r="M55" s="2">
        <v>80</v>
      </c>
      <c r="N55" s="2" t="s">
        <v>140</v>
      </c>
      <c r="O55" s="2">
        <v>4</v>
      </c>
      <c r="P55" s="2" t="s">
        <v>398</v>
      </c>
      <c r="Q55" s="2">
        <v>3</v>
      </c>
      <c r="R55" s="2" t="s">
        <v>410</v>
      </c>
      <c r="S55" s="2">
        <v>3</v>
      </c>
    </row>
    <row r="56" spans="1:19">
      <c r="A56" s="167"/>
      <c r="B56" s="2" t="s">
        <v>1428</v>
      </c>
      <c r="C56" s="2">
        <v>45</v>
      </c>
      <c r="D56" s="2" t="s">
        <v>429</v>
      </c>
      <c r="E56" s="2">
        <v>1</v>
      </c>
      <c r="F56" s="2" t="s">
        <v>431</v>
      </c>
      <c r="G56" s="2">
        <v>1</v>
      </c>
      <c r="H56" s="2" t="s">
        <v>394</v>
      </c>
      <c r="I56" s="2">
        <v>3</v>
      </c>
      <c r="K56" s="169"/>
      <c r="L56" s="162" t="s">
        <v>2981</v>
      </c>
      <c r="M56" s="162"/>
      <c r="N56" s="162"/>
      <c r="O56" s="162"/>
      <c r="P56" s="162"/>
      <c r="Q56" s="162"/>
      <c r="R56" s="162"/>
      <c r="S56" s="162"/>
    </row>
    <row r="57" spans="1:19">
      <c r="A57" s="167"/>
      <c r="B57" s="2" t="s">
        <v>1429</v>
      </c>
      <c r="C57" s="2">
        <v>50</v>
      </c>
      <c r="D57" s="2" t="s">
        <v>435</v>
      </c>
      <c r="E57" s="2">
        <v>1</v>
      </c>
      <c r="F57" s="2" t="s">
        <v>432</v>
      </c>
      <c r="G57" s="2">
        <v>1</v>
      </c>
      <c r="H57" s="2" t="s">
        <v>396</v>
      </c>
      <c r="I57" s="2">
        <v>3</v>
      </c>
      <c r="K57" s="169"/>
      <c r="L57" s="2" t="s">
        <v>2982</v>
      </c>
      <c r="M57" s="2">
        <v>54</v>
      </c>
      <c r="N57" s="2" t="s">
        <v>435</v>
      </c>
      <c r="O57" s="2">
        <v>2</v>
      </c>
      <c r="P57" s="2" t="s">
        <v>271</v>
      </c>
      <c r="Q57" s="2">
        <v>4</v>
      </c>
      <c r="R57" s="2" t="s">
        <v>394</v>
      </c>
      <c r="S57" s="2">
        <v>2</v>
      </c>
    </row>
    <row r="58" spans="1:19">
      <c r="A58" s="167"/>
      <c r="B58" s="2" t="s">
        <v>1430</v>
      </c>
      <c r="C58" s="2">
        <v>55</v>
      </c>
      <c r="D58" s="2" t="s">
        <v>437</v>
      </c>
      <c r="E58" s="2">
        <v>1</v>
      </c>
      <c r="F58" s="2" t="s">
        <v>430</v>
      </c>
      <c r="G58" s="2">
        <v>1</v>
      </c>
      <c r="H58" s="2" t="s">
        <v>396</v>
      </c>
      <c r="I58" s="2">
        <v>4</v>
      </c>
      <c r="K58" s="169"/>
      <c r="L58" s="2" t="s">
        <v>2983</v>
      </c>
      <c r="M58" s="2">
        <v>56</v>
      </c>
      <c r="N58" s="2" t="s">
        <v>436</v>
      </c>
      <c r="O58" s="2">
        <v>2</v>
      </c>
      <c r="P58" s="2" t="s">
        <v>271</v>
      </c>
      <c r="Q58" s="2">
        <v>4</v>
      </c>
      <c r="R58" s="2" t="s">
        <v>394</v>
      </c>
      <c r="S58" s="2">
        <v>3</v>
      </c>
    </row>
    <row r="59" spans="1:19">
      <c r="A59" s="167"/>
      <c r="B59" s="2" t="s">
        <v>1431</v>
      </c>
      <c r="C59" s="2">
        <v>65</v>
      </c>
      <c r="D59" s="2" t="s">
        <v>439</v>
      </c>
      <c r="E59" s="2">
        <v>1</v>
      </c>
      <c r="F59" s="2" t="s">
        <v>433</v>
      </c>
      <c r="G59" s="2">
        <v>1</v>
      </c>
      <c r="H59" s="2" t="s">
        <v>396</v>
      </c>
      <c r="I59" s="2">
        <v>5</v>
      </c>
      <c r="K59" s="169"/>
      <c r="L59" s="2" t="s">
        <v>2984</v>
      </c>
      <c r="M59" s="2">
        <v>58</v>
      </c>
      <c r="N59" s="2" t="s">
        <v>437</v>
      </c>
      <c r="O59" s="2">
        <v>2</v>
      </c>
      <c r="P59" s="2" t="s">
        <v>273</v>
      </c>
      <c r="Q59" s="2">
        <v>4</v>
      </c>
      <c r="R59" s="2" t="s">
        <v>396</v>
      </c>
      <c r="S59" s="2">
        <v>3</v>
      </c>
    </row>
    <row r="60" spans="1:19">
      <c r="A60" s="167"/>
      <c r="B60" s="2" t="s">
        <v>1432</v>
      </c>
      <c r="C60" s="2">
        <v>75</v>
      </c>
      <c r="D60" s="2" t="s">
        <v>440</v>
      </c>
      <c r="E60" s="2">
        <v>1</v>
      </c>
      <c r="F60" s="2" t="s">
        <v>429</v>
      </c>
      <c r="G60" s="2">
        <v>1</v>
      </c>
      <c r="H60" s="2" t="s">
        <v>398</v>
      </c>
      <c r="I60" s="2">
        <v>2</v>
      </c>
      <c r="K60" s="169"/>
      <c r="L60" s="2" t="s">
        <v>2985</v>
      </c>
      <c r="M60" s="2">
        <v>60</v>
      </c>
      <c r="N60" s="2" t="s">
        <v>438</v>
      </c>
      <c r="O60" s="2">
        <v>2</v>
      </c>
      <c r="P60" s="2" t="s">
        <v>273</v>
      </c>
      <c r="Q60" s="2">
        <v>4</v>
      </c>
      <c r="R60" s="2" t="s">
        <v>396</v>
      </c>
      <c r="S60" s="2">
        <v>4</v>
      </c>
    </row>
    <row r="61" spans="1:19">
      <c r="A61" s="167"/>
      <c r="B61" s="2" t="s">
        <v>1433</v>
      </c>
      <c r="C61" s="2">
        <v>85</v>
      </c>
      <c r="D61" s="2" t="s">
        <v>441</v>
      </c>
      <c r="E61" s="2">
        <v>1</v>
      </c>
      <c r="F61" s="2" t="s">
        <v>445</v>
      </c>
      <c r="G61" s="2">
        <v>1</v>
      </c>
      <c r="H61" s="2" t="s">
        <v>398</v>
      </c>
      <c r="I61" s="2">
        <v>2</v>
      </c>
      <c r="K61" s="169"/>
      <c r="L61" s="2" t="s">
        <v>2986</v>
      </c>
      <c r="M61" s="2">
        <v>62</v>
      </c>
      <c r="N61" s="2" t="s">
        <v>439</v>
      </c>
      <c r="O61" s="2">
        <v>2</v>
      </c>
      <c r="P61" s="2" t="s">
        <v>274</v>
      </c>
      <c r="Q61" s="2">
        <v>4</v>
      </c>
      <c r="R61" s="2" t="s">
        <v>396</v>
      </c>
      <c r="S61" s="2">
        <v>4</v>
      </c>
    </row>
    <row r="62" spans="1:19">
      <c r="A62" s="167"/>
      <c r="B62" s="2" t="s">
        <v>1434</v>
      </c>
      <c r="C62" s="2">
        <v>50</v>
      </c>
      <c r="D62" s="2" t="s">
        <v>418</v>
      </c>
      <c r="E62" s="2">
        <v>1</v>
      </c>
      <c r="F62" s="2" t="s">
        <v>399</v>
      </c>
      <c r="G62" s="2">
        <v>1</v>
      </c>
      <c r="H62" s="2" t="s">
        <v>447</v>
      </c>
      <c r="I62" s="2">
        <v>2</v>
      </c>
      <c r="K62" s="169"/>
      <c r="L62" s="2" t="s">
        <v>2987</v>
      </c>
      <c r="M62" s="2">
        <v>64</v>
      </c>
      <c r="N62" s="2" t="s">
        <v>440</v>
      </c>
      <c r="O62" s="2">
        <v>2</v>
      </c>
      <c r="P62" s="2" t="s">
        <v>274</v>
      </c>
      <c r="Q62" s="2">
        <v>4</v>
      </c>
      <c r="R62" s="2" t="s">
        <v>398</v>
      </c>
      <c r="S62" s="2">
        <v>2</v>
      </c>
    </row>
    <row r="63" spans="1:19">
      <c r="A63" s="167"/>
      <c r="B63" s="2" t="s">
        <v>1435</v>
      </c>
      <c r="C63" s="2">
        <v>60</v>
      </c>
      <c r="D63" s="2" t="s">
        <v>400</v>
      </c>
      <c r="E63" s="2">
        <v>1</v>
      </c>
      <c r="F63" s="2" t="s">
        <v>447</v>
      </c>
      <c r="G63" s="2">
        <v>2</v>
      </c>
      <c r="H63" s="2" t="s">
        <v>448</v>
      </c>
      <c r="I63" s="2">
        <v>2</v>
      </c>
      <c r="K63" s="169"/>
      <c r="L63" s="2" t="s">
        <v>2988</v>
      </c>
      <c r="M63" s="2">
        <v>66</v>
      </c>
      <c r="N63" s="2" t="s">
        <v>441</v>
      </c>
      <c r="O63" s="2">
        <v>2</v>
      </c>
      <c r="P63" s="2" t="s">
        <v>140</v>
      </c>
      <c r="Q63" s="2">
        <v>4</v>
      </c>
      <c r="R63" s="2" t="s">
        <v>398</v>
      </c>
      <c r="S63" s="2">
        <v>2</v>
      </c>
    </row>
    <row r="64" spans="1:19">
      <c r="A64" s="167"/>
      <c r="B64" s="2" t="s">
        <v>1436</v>
      </c>
      <c r="C64" s="2">
        <v>75</v>
      </c>
      <c r="D64" s="2" t="s">
        <v>401</v>
      </c>
      <c r="E64" s="2">
        <v>2</v>
      </c>
      <c r="F64" s="2" t="s">
        <v>448</v>
      </c>
      <c r="G64" s="2">
        <v>2</v>
      </c>
      <c r="H64" s="2" t="s">
        <v>449</v>
      </c>
      <c r="I64" s="2">
        <v>2</v>
      </c>
      <c r="K64" s="169"/>
      <c r="L64" s="2" t="s">
        <v>2989</v>
      </c>
      <c r="M64" s="2">
        <v>50</v>
      </c>
      <c r="N64" s="2" t="s">
        <v>418</v>
      </c>
      <c r="O64" s="2">
        <v>4</v>
      </c>
      <c r="P64" s="2" t="s">
        <v>141</v>
      </c>
      <c r="Q64" s="2">
        <v>5</v>
      </c>
      <c r="R64" s="2" t="s">
        <v>399</v>
      </c>
      <c r="S64" s="2">
        <v>3</v>
      </c>
    </row>
    <row r="65" spans="1:19">
      <c r="A65" s="167"/>
      <c r="B65" s="2" t="s">
        <v>1437</v>
      </c>
      <c r="C65" s="2">
        <v>88</v>
      </c>
      <c r="D65" s="2" t="s">
        <v>575</v>
      </c>
      <c r="E65" s="2">
        <v>1</v>
      </c>
      <c r="F65" s="2" t="s">
        <v>448</v>
      </c>
      <c r="G65" s="2">
        <v>2</v>
      </c>
      <c r="H65" s="2" t="s">
        <v>402</v>
      </c>
      <c r="I65" s="2">
        <v>1</v>
      </c>
      <c r="K65" s="169"/>
      <c r="L65" s="2" t="s">
        <v>2990</v>
      </c>
      <c r="M65" s="2">
        <v>60</v>
      </c>
      <c r="N65" s="2" t="s">
        <v>1107</v>
      </c>
      <c r="O65" s="2">
        <v>6</v>
      </c>
      <c r="P65" s="2" t="s">
        <v>142</v>
      </c>
      <c r="Q65" s="2">
        <v>6</v>
      </c>
      <c r="R65" s="2" t="s">
        <v>400</v>
      </c>
      <c r="S65" s="2">
        <v>3</v>
      </c>
    </row>
    <row r="66" spans="1:19">
      <c r="A66" s="167"/>
      <c r="B66" s="2" t="s">
        <v>1438</v>
      </c>
      <c r="C66" s="2">
        <v>92</v>
      </c>
      <c r="D66" s="2" t="s">
        <v>576</v>
      </c>
      <c r="E66" s="2">
        <v>1</v>
      </c>
      <c r="F66" s="2" t="s">
        <v>449</v>
      </c>
      <c r="G66" s="2">
        <v>2</v>
      </c>
      <c r="H66" s="2" t="s">
        <v>403</v>
      </c>
      <c r="I66" s="2">
        <v>1</v>
      </c>
      <c r="K66" s="169"/>
      <c r="L66" s="2" t="s">
        <v>2991</v>
      </c>
      <c r="M66" s="2">
        <v>75</v>
      </c>
      <c r="N66" s="2" t="s">
        <v>421</v>
      </c>
      <c r="O66" s="2">
        <v>6</v>
      </c>
      <c r="P66" s="2" t="s">
        <v>143</v>
      </c>
      <c r="Q66" s="2">
        <v>6</v>
      </c>
      <c r="R66" s="2" t="s">
        <v>401</v>
      </c>
      <c r="S66" s="2">
        <v>4</v>
      </c>
    </row>
    <row r="67" spans="1:19">
      <c r="A67" s="167"/>
      <c r="B67" s="2" t="s">
        <v>1439</v>
      </c>
      <c r="C67" s="2">
        <v>95</v>
      </c>
      <c r="D67" s="2" t="s">
        <v>1066</v>
      </c>
      <c r="E67" s="2">
        <v>1</v>
      </c>
      <c r="F67" s="2" t="s">
        <v>447</v>
      </c>
      <c r="G67" s="2">
        <v>2</v>
      </c>
      <c r="H67" s="2" t="s">
        <v>404</v>
      </c>
      <c r="I67" s="2">
        <v>1</v>
      </c>
      <c r="K67" s="169"/>
      <c r="L67" s="2" t="s">
        <v>2992</v>
      </c>
      <c r="M67" s="2">
        <v>85</v>
      </c>
      <c r="N67" s="2" t="s">
        <v>275</v>
      </c>
      <c r="O67" s="2">
        <v>2</v>
      </c>
      <c r="P67" s="2" t="s">
        <v>402</v>
      </c>
      <c r="Q67" s="2">
        <v>1</v>
      </c>
      <c r="R67" s="2" t="s">
        <v>421</v>
      </c>
      <c r="S67" s="2">
        <v>1</v>
      </c>
    </row>
    <row r="68" spans="1:19">
      <c r="A68" s="167"/>
      <c r="B68" s="2" t="s">
        <v>2406</v>
      </c>
      <c r="C68" s="2">
        <v>110</v>
      </c>
      <c r="D68" s="2" t="s">
        <v>1793</v>
      </c>
      <c r="E68" s="2">
        <v>1</v>
      </c>
      <c r="F68" s="2" t="s">
        <v>1753</v>
      </c>
      <c r="G68" s="2">
        <v>1</v>
      </c>
      <c r="H68" s="2" t="s">
        <v>1787</v>
      </c>
      <c r="I68" s="2">
        <v>1</v>
      </c>
      <c r="K68" s="169"/>
      <c r="L68" s="2" t="s">
        <v>2993</v>
      </c>
      <c r="M68" s="2">
        <v>90</v>
      </c>
      <c r="N68" s="2" t="s">
        <v>276</v>
      </c>
      <c r="O68" s="2">
        <v>2</v>
      </c>
      <c r="P68" s="2" t="s">
        <v>403</v>
      </c>
      <c r="Q68" s="2">
        <v>1</v>
      </c>
      <c r="R68" s="2" t="s">
        <v>424</v>
      </c>
      <c r="S68" s="2">
        <v>1</v>
      </c>
    </row>
    <row r="69" spans="1:19">
      <c r="A69" s="167"/>
      <c r="B69" s="2" t="s">
        <v>2407</v>
      </c>
      <c r="C69" s="2">
        <v>120</v>
      </c>
      <c r="D69" s="2" t="s">
        <v>1794</v>
      </c>
      <c r="E69" s="2">
        <v>1</v>
      </c>
      <c r="F69" s="2" t="s">
        <v>1754</v>
      </c>
      <c r="G69" s="2">
        <v>1</v>
      </c>
      <c r="H69" s="2" t="s">
        <v>1788</v>
      </c>
      <c r="I69" s="2">
        <v>1</v>
      </c>
      <c r="K69" s="169"/>
      <c r="L69" s="2" t="s">
        <v>2994</v>
      </c>
      <c r="M69" s="2">
        <v>95</v>
      </c>
      <c r="N69" s="2" t="s">
        <v>277</v>
      </c>
      <c r="O69" s="2">
        <v>2</v>
      </c>
      <c r="P69" s="2" t="s">
        <v>404</v>
      </c>
      <c r="Q69" s="2">
        <v>1</v>
      </c>
      <c r="R69" s="2" t="s">
        <v>400</v>
      </c>
      <c r="S69" s="2">
        <v>1</v>
      </c>
    </row>
    <row r="70" spans="1:19">
      <c r="A70" s="167"/>
      <c r="B70" s="2" t="s">
        <v>2408</v>
      </c>
      <c r="C70" s="2">
        <v>130</v>
      </c>
      <c r="D70" s="2" t="s">
        <v>1795</v>
      </c>
      <c r="E70" s="2">
        <v>1</v>
      </c>
      <c r="F70" s="2" t="s">
        <v>1755</v>
      </c>
      <c r="G70" s="2">
        <v>1</v>
      </c>
      <c r="H70" s="2" t="s">
        <v>1789</v>
      </c>
      <c r="I70" s="2">
        <v>1</v>
      </c>
      <c r="K70" s="169"/>
      <c r="L70" s="2" t="s">
        <v>2421</v>
      </c>
      <c r="M70" s="2">
        <v>110</v>
      </c>
      <c r="N70" s="2" t="s">
        <v>1756</v>
      </c>
      <c r="O70" s="2">
        <v>1</v>
      </c>
      <c r="P70" s="2" t="s">
        <v>1787</v>
      </c>
      <c r="Q70" s="2">
        <v>1</v>
      </c>
      <c r="R70" s="2" t="s">
        <v>404</v>
      </c>
      <c r="S70" s="2">
        <v>1</v>
      </c>
    </row>
    <row r="71" spans="1:19">
      <c r="A71" s="167"/>
      <c r="B71" s="2" t="s">
        <v>1873</v>
      </c>
      <c r="C71" s="2">
        <v>140</v>
      </c>
      <c r="D71" s="2" t="s">
        <v>1823</v>
      </c>
      <c r="E71" s="2">
        <v>1</v>
      </c>
      <c r="F71" s="2" t="s">
        <v>1818</v>
      </c>
      <c r="G71" s="2">
        <v>1</v>
      </c>
      <c r="H71" s="2" t="s">
        <v>575</v>
      </c>
      <c r="I71" s="2">
        <v>1</v>
      </c>
      <c r="K71" s="169"/>
      <c r="L71" s="2" t="s">
        <v>2422</v>
      </c>
      <c r="M71" s="2">
        <v>120</v>
      </c>
      <c r="N71" s="2" t="s">
        <v>1757</v>
      </c>
      <c r="O71" s="2">
        <v>1</v>
      </c>
      <c r="P71" s="2" t="s">
        <v>1788</v>
      </c>
      <c r="Q71" s="2">
        <v>1</v>
      </c>
      <c r="R71" s="2" t="s">
        <v>404</v>
      </c>
      <c r="S71" s="2">
        <v>1</v>
      </c>
    </row>
    <row r="72" spans="1:19">
      <c r="A72" s="167"/>
      <c r="B72" s="2" t="s">
        <v>1874</v>
      </c>
      <c r="C72" s="2">
        <v>150</v>
      </c>
      <c r="D72" s="2" t="s">
        <v>1824</v>
      </c>
      <c r="E72" s="2">
        <v>1</v>
      </c>
      <c r="F72" s="2" t="s">
        <v>1819</v>
      </c>
      <c r="G72" s="2">
        <v>1</v>
      </c>
      <c r="H72" s="2" t="s">
        <v>576</v>
      </c>
      <c r="I72" s="2">
        <v>1</v>
      </c>
      <c r="K72" s="169"/>
      <c r="L72" s="2" t="s">
        <v>2423</v>
      </c>
      <c r="M72" s="2">
        <v>130</v>
      </c>
      <c r="N72" s="2" t="s">
        <v>1758</v>
      </c>
      <c r="O72" s="2">
        <v>1</v>
      </c>
      <c r="P72" s="2" t="s">
        <v>1789</v>
      </c>
      <c r="Q72" s="2">
        <v>1</v>
      </c>
      <c r="R72" s="2" t="s">
        <v>404</v>
      </c>
      <c r="S72" s="2">
        <v>1</v>
      </c>
    </row>
    <row r="73" spans="1:19">
      <c r="A73" s="167"/>
      <c r="B73" s="2"/>
      <c r="C73" s="2">
        <v>160</v>
      </c>
      <c r="D73" s="2"/>
      <c r="E73" s="2"/>
      <c r="F73" s="2"/>
      <c r="G73" s="2"/>
      <c r="H73" s="2"/>
      <c r="I73" s="2"/>
      <c r="K73" s="169"/>
      <c r="L73" s="2" t="s">
        <v>1894</v>
      </c>
      <c r="M73" s="2">
        <v>140</v>
      </c>
      <c r="N73" s="2" t="s">
        <v>1758</v>
      </c>
      <c r="O73" s="2">
        <v>1</v>
      </c>
      <c r="P73" s="2" t="s">
        <v>1818</v>
      </c>
      <c r="Q73" s="2">
        <v>1</v>
      </c>
      <c r="R73" s="2" t="s">
        <v>1790</v>
      </c>
      <c r="S73" s="2">
        <v>1</v>
      </c>
    </row>
    <row r="74" spans="1:19">
      <c r="K74" s="169"/>
      <c r="L74" s="2" t="s">
        <v>1895</v>
      </c>
      <c r="M74" s="2">
        <v>150</v>
      </c>
      <c r="N74" s="2" t="s">
        <v>1823</v>
      </c>
      <c r="O74" s="2">
        <v>1</v>
      </c>
      <c r="P74" s="2" t="s">
        <v>1819</v>
      </c>
      <c r="Q74" s="2">
        <v>1</v>
      </c>
      <c r="R74" s="2" t="s">
        <v>1791</v>
      </c>
      <c r="S74" s="2">
        <v>1</v>
      </c>
    </row>
    <row r="75" spans="1:19">
      <c r="A75" s="167" t="s">
        <v>1440</v>
      </c>
      <c r="B75" s="2" t="s">
        <v>1441</v>
      </c>
      <c r="C75" s="2">
        <v>1</v>
      </c>
      <c r="D75" s="2" t="s">
        <v>388</v>
      </c>
      <c r="E75" s="2">
        <v>1</v>
      </c>
      <c r="F75" s="2" t="s">
        <v>387</v>
      </c>
      <c r="G75" s="2">
        <v>1</v>
      </c>
      <c r="H75" s="2"/>
      <c r="I75" s="2"/>
      <c r="K75" s="170"/>
      <c r="L75" s="2" t="s">
        <v>1896</v>
      </c>
      <c r="M75" s="2">
        <v>160</v>
      </c>
      <c r="N75" s="2" t="s">
        <v>1824</v>
      </c>
      <c r="O75" s="2">
        <v>1</v>
      </c>
      <c r="P75" s="2" t="s">
        <v>1819</v>
      </c>
      <c r="Q75" s="2">
        <v>1</v>
      </c>
      <c r="R75" s="2" t="s">
        <v>1792</v>
      </c>
      <c r="S75" s="2">
        <v>1</v>
      </c>
    </row>
    <row r="76" spans="1:19">
      <c r="A76" s="167"/>
      <c r="B76" s="2" t="s">
        <v>1442</v>
      </c>
      <c r="C76" s="2">
        <v>5</v>
      </c>
      <c r="D76" s="2" t="s">
        <v>1289</v>
      </c>
      <c r="E76" s="2">
        <v>2</v>
      </c>
      <c r="F76" s="2" t="s">
        <v>389</v>
      </c>
      <c r="G76" s="2">
        <v>2</v>
      </c>
      <c r="H76" s="2"/>
      <c r="I76" s="2"/>
    </row>
    <row r="77" spans="1:19">
      <c r="A77" s="167"/>
      <c r="B77" s="2" t="s">
        <v>1443</v>
      </c>
      <c r="C77" s="2">
        <v>10</v>
      </c>
      <c r="D77" s="2" t="s">
        <v>406</v>
      </c>
      <c r="E77" s="2">
        <v>2</v>
      </c>
      <c r="F77" s="2" t="s">
        <v>389</v>
      </c>
      <c r="G77" s="2">
        <v>2</v>
      </c>
      <c r="H77" s="2"/>
      <c r="I77" s="2"/>
      <c r="K77" s="168" t="s">
        <v>2461</v>
      </c>
      <c r="L77" s="2" t="s">
        <v>2995</v>
      </c>
      <c r="M77" s="2">
        <v>1</v>
      </c>
      <c r="N77" s="2" t="s">
        <v>406</v>
      </c>
      <c r="O77" s="2">
        <v>6</v>
      </c>
      <c r="P77" s="2" t="s">
        <v>1289</v>
      </c>
      <c r="Q77" s="2">
        <v>3</v>
      </c>
      <c r="R77" s="2"/>
      <c r="S77" s="2"/>
    </row>
    <row r="78" spans="1:19">
      <c r="A78" s="167"/>
      <c r="B78" s="2" t="s">
        <v>1444</v>
      </c>
      <c r="C78" s="2">
        <v>15</v>
      </c>
      <c r="D78" s="2" t="s">
        <v>1292</v>
      </c>
      <c r="E78" s="2">
        <v>4</v>
      </c>
      <c r="F78" s="2" t="s">
        <v>389</v>
      </c>
      <c r="G78" s="2">
        <v>3</v>
      </c>
      <c r="H78" s="2"/>
      <c r="I78" s="2"/>
      <c r="K78" s="169"/>
      <c r="L78" s="2" t="s">
        <v>2996</v>
      </c>
      <c r="M78" s="2">
        <v>5</v>
      </c>
      <c r="N78" s="2" t="s">
        <v>406</v>
      </c>
      <c r="O78" s="2">
        <v>7</v>
      </c>
      <c r="P78" s="2" t="s">
        <v>1289</v>
      </c>
      <c r="Q78" s="2">
        <v>4</v>
      </c>
      <c r="R78" s="2"/>
      <c r="S78" s="2"/>
    </row>
    <row r="79" spans="1:19">
      <c r="A79" s="167"/>
      <c r="B79" s="2" t="s">
        <v>1445</v>
      </c>
      <c r="C79" s="2">
        <v>20</v>
      </c>
      <c r="D79" s="2" t="s">
        <v>407</v>
      </c>
      <c r="E79" s="2">
        <v>3</v>
      </c>
      <c r="F79" s="2" t="s">
        <v>389</v>
      </c>
      <c r="G79" s="2">
        <v>1</v>
      </c>
      <c r="H79" s="2" t="s">
        <v>1292</v>
      </c>
      <c r="I79" s="2">
        <v>2</v>
      </c>
      <c r="K79" s="169"/>
      <c r="L79" s="2" t="s">
        <v>2997</v>
      </c>
      <c r="M79" s="2">
        <v>10</v>
      </c>
      <c r="N79" s="2" t="s">
        <v>406</v>
      </c>
      <c r="O79" s="2">
        <v>8</v>
      </c>
      <c r="P79" s="2" t="s">
        <v>1292</v>
      </c>
      <c r="Q79" s="2">
        <v>4</v>
      </c>
      <c r="R79" s="2"/>
      <c r="S79" s="2"/>
    </row>
    <row r="80" spans="1:19">
      <c r="A80" s="167"/>
      <c r="B80" s="2" t="s">
        <v>1446</v>
      </c>
      <c r="C80" s="2">
        <v>25</v>
      </c>
      <c r="D80" s="2" t="s">
        <v>390</v>
      </c>
      <c r="E80" s="2">
        <v>2</v>
      </c>
      <c r="F80" s="2" t="s">
        <v>389</v>
      </c>
      <c r="G80" s="2">
        <v>1</v>
      </c>
      <c r="H80" s="2" t="s">
        <v>1289</v>
      </c>
      <c r="I80" s="2">
        <v>1</v>
      </c>
      <c r="K80" s="169"/>
      <c r="L80" s="2" t="s">
        <v>2998</v>
      </c>
      <c r="M80" s="2">
        <v>15</v>
      </c>
      <c r="N80" s="2" t="s">
        <v>407</v>
      </c>
      <c r="O80" s="2">
        <v>8</v>
      </c>
      <c r="P80" s="2" t="s">
        <v>1292</v>
      </c>
      <c r="Q80" s="2">
        <v>4</v>
      </c>
      <c r="R80" s="2"/>
      <c r="S80" s="2"/>
    </row>
    <row r="81" spans="1:19">
      <c r="A81" s="167"/>
      <c r="B81" s="2" t="s">
        <v>1447</v>
      </c>
      <c r="C81" s="2">
        <v>30</v>
      </c>
      <c r="D81" s="2" t="s">
        <v>408</v>
      </c>
      <c r="E81" s="2">
        <v>3</v>
      </c>
      <c r="F81" s="2" t="s">
        <v>407</v>
      </c>
      <c r="G81" s="2">
        <v>2</v>
      </c>
      <c r="H81" s="2" t="s">
        <v>1292</v>
      </c>
      <c r="I81" s="2">
        <v>2</v>
      </c>
      <c r="K81" s="169"/>
      <c r="L81" s="2" t="s">
        <v>2999</v>
      </c>
      <c r="M81" s="2">
        <v>20</v>
      </c>
      <c r="N81" s="2" t="s">
        <v>407</v>
      </c>
      <c r="O81" s="2">
        <v>8</v>
      </c>
      <c r="P81" s="2" t="s">
        <v>1297</v>
      </c>
      <c r="Q81" s="2">
        <v>4</v>
      </c>
      <c r="R81" s="2"/>
      <c r="S81" s="2"/>
    </row>
    <row r="82" spans="1:19">
      <c r="A82" s="167"/>
      <c r="B82" s="2" t="s">
        <v>1448</v>
      </c>
      <c r="C82" s="2">
        <v>35</v>
      </c>
      <c r="D82" s="2" t="s">
        <v>409</v>
      </c>
      <c r="E82" s="2">
        <v>2</v>
      </c>
      <c r="F82" s="2" t="s">
        <v>391</v>
      </c>
      <c r="G82" s="2">
        <v>2</v>
      </c>
      <c r="H82" s="2" t="s">
        <v>1297</v>
      </c>
      <c r="I82" s="2">
        <v>4</v>
      </c>
      <c r="K82" s="169"/>
      <c r="L82" s="2" t="s">
        <v>3000</v>
      </c>
      <c r="M82" s="2">
        <v>25</v>
      </c>
      <c r="N82" s="2" t="s">
        <v>408</v>
      </c>
      <c r="O82" s="2">
        <v>8</v>
      </c>
      <c r="P82" s="2" t="s">
        <v>1297</v>
      </c>
      <c r="Q82" s="2">
        <v>4</v>
      </c>
      <c r="R82" s="2"/>
      <c r="S82" s="2"/>
    </row>
    <row r="83" spans="1:19">
      <c r="A83" s="167"/>
      <c r="B83" s="2" t="s">
        <v>1449</v>
      </c>
      <c r="C83" s="2">
        <v>40</v>
      </c>
      <c r="D83" s="2" t="s">
        <v>412</v>
      </c>
      <c r="E83" s="2">
        <v>2</v>
      </c>
      <c r="F83" s="2" t="s">
        <v>410</v>
      </c>
      <c r="G83" s="2">
        <v>1</v>
      </c>
      <c r="H83" s="2" t="s">
        <v>393</v>
      </c>
      <c r="I83" s="2">
        <v>2</v>
      </c>
      <c r="K83" s="169"/>
      <c r="L83" s="2" t="s">
        <v>3001</v>
      </c>
      <c r="M83" s="2">
        <v>30</v>
      </c>
      <c r="N83" s="2" t="s">
        <v>409</v>
      </c>
      <c r="O83" s="2">
        <v>4</v>
      </c>
      <c r="P83" s="2" t="s">
        <v>408</v>
      </c>
      <c r="Q83" s="2">
        <v>4</v>
      </c>
      <c r="R83" s="2" t="s">
        <v>1297</v>
      </c>
      <c r="S83" s="2">
        <v>4</v>
      </c>
    </row>
    <row r="84" spans="1:19">
      <c r="A84" s="167"/>
      <c r="B84" s="2" t="s">
        <v>1450</v>
      </c>
      <c r="C84" s="2">
        <v>45</v>
      </c>
      <c r="D84" s="2" t="s">
        <v>412</v>
      </c>
      <c r="E84" s="2">
        <v>3</v>
      </c>
      <c r="F84" s="2" t="s">
        <v>393</v>
      </c>
      <c r="G84" s="2">
        <v>2</v>
      </c>
      <c r="H84" s="2"/>
      <c r="I84" s="2"/>
      <c r="K84" s="169"/>
      <c r="L84" s="2" t="s">
        <v>3002</v>
      </c>
      <c r="M84" s="2">
        <v>35</v>
      </c>
      <c r="N84" s="2" t="s">
        <v>408</v>
      </c>
      <c r="O84" s="2">
        <v>8</v>
      </c>
      <c r="P84" s="2" t="s">
        <v>269</v>
      </c>
      <c r="Q84" s="2">
        <v>5</v>
      </c>
      <c r="R84" s="2"/>
      <c r="S84" s="2"/>
    </row>
    <row r="85" spans="1:19">
      <c r="A85" s="167"/>
      <c r="B85" s="2" t="s">
        <v>1451</v>
      </c>
      <c r="C85" s="2">
        <v>50</v>
      </c>
      <c r="D85" s="2" t="s">
        <v>394</v>
      </c>
      <c r="E85" s="2">
        <v>2</v>
      </c>
      <c r="F85" s="2" t="s">
        <v>393</v>
      </c>
      <c r="G85" s="2">
        <v>2</v>
      </c>
      <c r="H85" s="2" t="s">
        <v>269</v>
      </c>
      <c r="I85" s="2">
        <v>1</v>
      </c>
      <c r="K85" s="169"/>
      <c r="L85" s="2" t="s">
        <v>3003</v>
      </c>
      <c r="M85" s="2">
        <v>40</v>
      </c>
      <c r="N85" s="2" t="s">
        <v>408</v>
      </c>
      <c r="O85" s="2">
        <v>7</v>
      </c>
      <c r="P85" s="2" t="s">
        <v>410</v>
      </c>
      <c r="Q85" s="2">
        <v>3</v>
      </c>
      <c r="R85" s="2" t="s">
        <v>269</v>
      </c>
      <c r="S85" s="2">
        <v>5</v>
      </c>
    </row>
    <row r="86" spans="1:19">
      <c r="A86" s="167"/>
      <c r="B86" s="2" t="s">
        <v>1452</v>
      </c>
      <c r="C86" s="2">
        <v>55</v>
      </c>
      <c r="D86" s="2" t="s">
        <v>396</v>
      </c>
      <c r="E86" s="2">
        <v>2</v>
      </c>
      <c r="F86" s="2" t="s">
        <v>393</v>
      </c>
      <c r="G86" s="2">
        <v>2</v>
      </c>
      <c r="H86" s="2" t="s">
        <v>273</v>
      </c>
      <c r="I86" s="2">
        <v>2</v>
      </c>
      <c r="K86" s="169"/>
      <c r="L86" s="2" t="s">
        <v>3004</v>
      </c>
      <c r="M86" s="2">
        <v>45</v>
      </c>
      <c r="N86" s="2" t="s">
        <v>412</v>
      </c>
      <c r="O86" s="2">
        <v>6</v>
      </c>
      <c r="P86" s="2" t="s">
        <v>408</v>
      </c>
      <c r="Q86" s="2">
        <v>2</v>
      </c>
      <c r="R86" s="2" t="s">
        <v>271</v>
      </c>
      <c r="S86" s="2">
        <v>5</v>
      </c>
    </row>
    <row r="87" spans="1:19">
      <c r="A87" s="167"/>
      <c r="B87" s="2" t="s">
        <v>1453</v>
      </c>
      <c r="C87" s="2">
        <v>60</v>
      </c>
      <c r="D87" s="2" t="s">
        <v>414</v>
      </c>
      <c r="E87" s="2">
        <v>3</v>
      </c>
      <c r="F87" s="2" t="s">
        <v>397</v>
      </c>
      <c r="G87" s="2">
        <v>1</v>
      </c>
      <c r="H87" s="2" t="s">
        <v>393</v>
      </c>
      <c r="I87" s="2">
        <v>2</v>
      </c>
      <c r="K87" s="169"/>
      <c r="L87" s="2" t="s">
        <v>3005</v>
      </c>
      <c r="M87" s="2">
        <v>50</v>
      </c>
      <c r="N87" s="2" t="s">
        <v>412</v>
      </c>
      <c r="O87" s="2">
        <v>6</v>
      </c>
      <c r="P87" s="2" t="s">
        <v>415</v>
      </c>
      <c r="Q87" s="2">
        <v>2</v>
      </c>
      <c r="R87" s="2" t="s">
        <v>271</v>
      </c>
      <c r="S87" s="2">
        <v>5</v>
      </c>
    </row>
    <row r="88" spans="1:19">
      <c r="A88" s="167"/>
      <c r="B88" s="2" t="s">
        <v>1454</v>
      </c>
      <c r="C88" s="2">
        <v>65</v>
      </c>
      <c r="D88" s="2" t="s">
        <v>274</v>
      </c>
      <c r="E88" s="2">
        <v>3</v>
      </c>
      <c r="F88" s="2" t="s">
        <v>397</v>
      </c>
      <c r="G88" s="2">
        <v>3</v>
      </c>
      <c r="H88" s="2" t="s">
        <v>393</v>
      </c>
      <c r="I88" s="2">
        <v>2</v>
      </c>
      <c r="K88" s="169"/>
      <c r="L88" s="2" t="s">
        <v>3006</v>
      </c>
      <c r="M88" s="2">
        <v>55</v>
      </c>
      <c r="N88" s="2" t="s">
        <v>412</v>
      </c>
      <c r="O88" s="2">
        <v>6</v>
      </c>
      <c r="P88" s="2" t="s">
        <v>414</v>
      </c>
      <c r="Q88" s="2">
        <v>4</v>
      </c>
      <c r="R88" s="2" t="s">
        <v>273</v>
      </c>
      <c r="S88" s="2">
        <v>5</v>
      </c>
    </row>
    <row r="89" spans="1:19">
      <c r="A89" s="167"/>
      <c r="B89" s="2" t="s">
        <v>1455</v>
      </c>
      <c r="C89" s="2">
        <v>70</v>
      </c>
      <c r="D89" s="2" t="s">
        <v>1456</v>
      </c>
      <c r="E89" s="2">
        <v>2</v>
      </c>
      <c r="F89" s="2" t="s">
        <v>412</v>
      </c>
      <c r="G89" s="2">
        <v>2</v>
      </c>
      <c r="H89" s="2" t="s">
        <v>397</v>
      </c>
      <c r="I89" s="2">
        <v>1</v>
      </c>
      <c r="K89" s="169"/>
      <c r="L89" s="2" t="s">
        <v>3007</v>
      </c>
      <c r="M89" s="2">
        <v>60</v>
      </c>
      <c r="N89" s="2" t="s">
        <v>412</v>
      </c>
      <c r="O89" s="2">
        <v>6</v>
      </c>
      <c r="P89" s="2" t="s">
        <v>414</v>
      </c>
      <c r="Q89" s="2">
        <v>5</v>
      </c>
      <c r="R89" s="2" t="s">
        <v>273</v>
      </c>
      <c r="S89" s="2">
        <v>5</v>
      </c>
    </row>
    <row r="90" spans="1:19">
      <c r="A90" s="167"/>
      <c r="B90" s="2" t="s">
        <v>1457</v>
      </c>
      <c r="C90" s="2">
        <v>75</v>
      </c>
      <c r="D90" s="2" t="s">
        <v>417</v>
      </c>
      <c r="E90" s="2">
        <v>2</v>
      </c>
      <c r="F90" s="2" t="s">
        <v>412</v>
      </c>
      <c r="G90" s="2">
        <v>1</v>
      </c>
      <c r="H90" s="2" t="s">
        <v>398</v>
      </c>
      <c r="I90" s="2">
        <v>1</v>
      </c>
      <c r="K90" s="169"/>
      <c r="L90" s="2" t="s">
        <v>3008</v>
      </c>
      <c r="M90" s="2">
        <v>65</v>
      </c>
      <c r="N90" s="2" t="s">
        <v>414</v>
      </c>
      <c r="O90" s="2">
        <v>6</v>
      </c>
      <c r="P90" s="2" t="s">
        <v>412</v>
      </c>
      <c r="Q90" s="2">
        <v>5</v>
      </c>
      <c r="R90" s="2" t="s">
        <v>274</v>
      </c>
      <c r="S90" s="2">
        <v>5</v>
      </c>
    </row>
    <row r="91" spans="1:19">
      <c r="A91" s="167"/>
      <c r="B91" s="2" t="s">
        <v>1458</v>
      </c>
      <c r="C91" s="2">
        <v>80</v>
      </c>
      <c r="D91" s="2" t="s">
        <v>140</v>
      </c>
      <c r="E91" s="2">
        <v>2</v>
      </c>
      <c r="F91" s="2" t="s">
        <v>398</v>
      </c>
      <c r="G91" s="2">
        <v>2</v>
      </c>
      <c r="H91" s="2"/>
      <c r="I91" s="2"/>
      <c r="K91" s="169"/>
      <c r="L91" s="2" t="s">
        <v>3009</v>
      </c>
      <c r="M91" s="2">
        <v>70</v>
      </c>
      <c r="N91" s="2" t="s">
        <v>415</v>
      </c>
      <c r="O91" s="2">
        <v>5</v>
      </c>
      <c r="P91" s="2" t="s">
        <v>412</v>
      </c>
      <c r="Q91" s="2">
        <v>4</v>
      </c>
      <c r="R91" s="2" t="s">
        <v>140</v>
      </c>
      <c r="S91" s="2">
        <v>5</v>
      </c>
    </row>
    <row r="92" spans="1:19">
      <c r="A92" s="167"/>
      <c r="B92" s="162" t="s">
        <v>1459</v>
      </c>
      <c r="C92" s="162"/>
      <c r="D92" s="162"/>
      <c r="E92" s="162"/>
      <c r="F92" s="162"/>
      <c r="G92" s="162"/>
      <c r="H92" s="162"/>
      <c r="I92" s="162"/>
      <c r="K92" s="169"/>
      <c r="L92" s="2" t="s">
        <v>3010</v>
      </c>
      <c r="M92" s="2">
        <v>75</v>
      </c>
      <c r="N92" s="2" t="s">
        <v>416</v>
      </c>
      <c r="O92" s="2">
        <v>5</v>
      </c>
      <c r="P92" s="2" t="s">
        <v>412</v>
      </c>
      <c r="Q92" s="2">
        <v>4</v>
      </c>
      <c r="R92" s="2" t="s">
        <v>140</v>
      </c>
      <c r="S92" s="2">
        <v>5</v>
      </c>
    </row>
    <row r="93" spans="1:19">
      <c r="A93" s="167"/>
      <c r="B93" s="2" t="s">
        <v>2232</v>
      </c>
      <c r="C93" s="2">
        <v>50</v>
      </c>
      <c r="D93" s="2" t="s">
        <v>436</v>
      </c>
      <c r="E93" s="2">
        <v>1</v>
      </c>
      <c r="F93" s="2" t="s">
        <v>396</v>
      </c>
      <c r="G93" s="2">
        <v>2</v>
      </c>
      <c r="H93" s="2"/>
      <c r="I93" s="2"/>
      <c r="K93" s="169"/>
      <c r="L93" s="2" t="s">
        <v>3011</v>
      </c>
      <c r="M93" s="2">
        <v>80</v>
      </c>
      <c r="N93" s="2" t="s">
        <v>417</v>
      </c>
      <c r="O93" s="2">
        <v>5</v>
      </c>
      <c r="P93" s="2" t="s">
        <v>412</v>
      </c>
      <c r="Q93" s="2">
        <v>4</v>
      </c>
      <c r="R93" s="2" t="s">
        <v>140</v>
      </c>
      <c r="S93" s="2">
        <v>5</v>
      </c>
    </row>
    <row r="94" spans="1:19">
      <c r="A94" s="167"/>
      <c r="B94" s="2" t="s">
        <v>1461</v>
      </c>
      <c r="C94" s="2">
        <v>70</v>
      </c>
      <c r="D94" s="2" t="s">
        <v>438</v>
      </c>
      <c r="E94" s="2">
        <v>1</v>
      </c>
      <c r="F94" s="2" t="s">
        <v>410</v>
      </c>
      <c r="G94" s="2">
        <v>3</v>
      </c>
      <c r="H94" s="2" t="s">
        <v>396</v>
      </c>
      <c r="I94" s="2">
        <v>2</v>
      </c>
      <c r="K94" s="169"/>
      <c r="L94" s="162" t="s">
        <v>3012</v>
      </c>
      <c r="M94" s="162"/>
      <c r="N94" s="162"/>
      <c r="O94" s="162"/>
      <c r="P94" s="162"/>
      <c r="Q94" s="162"/>
      <c r="R94" s="162"/>
      <c r="S94" s="162"/>
    </row>
    <row r="95" spans="1:19">
      <c r="A95" s="167"/>
      <c r="B95" s="2" t="s">
        <v>1462</v>
      </c>
      <c r="C95" s="2">
        <v>70</v>
      </c>
      <c r="D95" s="2" t="s">
        <v>434</v>
      </c>
      <c r="E95" s="2">
        <v>1</v>
      </c>
      <c r="F95" s="2" t="s">
        <v>412</v>
      </c>
      <c r="G95" s="2">
        <v>6</v>
      </c>
      <c r="H95" s="2"/>
      <c r="I95" s="2"/>
      <c r="K95" s="169"/>
      <c r="L95" s="2" t="s">
        <v>3013</v>
      </c>
      <c r="M95" s="2">
        <v>54</v>
      </c>
      <c r="N95" s="2" t="s">
        <v>435</v>
      </c>
      <c r="O95" s="2">
        <v>2</v>
      </c>
      <c r="P95" s="2" t="s">
        <v>412</v>
      </c>
      <c r="Q95" s="2">
        <v>5</v>
      </c>
      <c r="R95" s="2" t="s">
        <v>271</v>
      </c>
      <c r="S95" s="2">
        <v>5</v>
      </c>
    </row>
    <row r="96" spans="1:19">
      <c r="A96" s="167"/>
      <c r="B96" s="2" t="s">
        <v>1463</v>
      </c>
      <c r="C96" s="2">
        <v>50</v>
      </c>
      <c r="D96" s="2" t="s">
        <v>141</v>
      </c>
      <c r="E96" s="2">
        <v>4</v>
      </c>
      <c r="F96" s="2" t="s">
        <v>399</v>
      </c>
      <c r="G96" s="2">
        <v>2</v>
      </c>
      <c r="H96" s="2" t="s">
        <v>447</v>
      </c>
      <c r="I96" s="2">
        <v>1</v>
      </c>
      <c r="K96" s="169"/>
      <c r="L96" s="2" t="s">
        <v>3014</v>
      </c>
      <c r="M96" s="2">
        <v>56</v>
      </c>
      <c r="N96" s="2" t="s">
        <v>436</v>
      </c>
      <c r="O96" s="2">
        <v>2</v>
      </c>
      <c r="P96" s="2" t="s">
        <v>412</v>
      </c>
      <c r="Q96" s="2">
        <v>6</v>
      </c>
      <c r="R96" s="2" t="s">
        <v>271</v>
      </c>
      <c r="S96" s="2">
        <v>5</v>
      </c>
    </row>
    <row r="97" spans="1:19">
      <c r="A97" s="167"/>
      <c r="B97" s="2" t="s">
        <v>1464</v>
      </c>
      <c r="C97" s="2">
        <v>60</v>
      </c>
      <c r="D97" s="2" t="s">
        <v>400</v>
      </c>
      <c r="E97" s="2">
        <v>2</v>
      </c>
      <c r="F97" s="2" t="s">
        <v>142</v>
      </c>
      <c r="G97" s="2">
        <v>2</v>
      </c>
      <c r="H97" s="2" t="s">
        <v>399</v>
      </c>
      <c r="I97" s="2">
        <v>2</v>
      </c>
      <c r="K97" s="169"/>
      <c r="L97" s="2" t="s">
        <v>3015</v>
      </c>
      <c r="M97" s="2">
        <v>58</v>
      </c>
      <c r="N97" s="2" t="s">
        <v>437</v>
      </c>
      <c r="O97" s="2">
        <v>2</v>
      </c>
      <c r="P97" s="2" t="s">
        <v>414</v>
      </c>
      <c r="Q97" s="2">
        <v>5</v>
      </c>
      <c r="R97" s="2" t="s">
        <v>273</v>
      </c>
      <c r="S97" s="2">
        <v>5</v>
      </c>
    </row>
    <row r="98" spans="1:19">
      <c r="A98" s="167"/>
      <c r="B98" s="2" t="s">
        <v>1465</v>
      </c>
      <c r="C98" s="2">
        <v>75</v>
      </c>
      <c r="D98" s="2" t="s">
        <v>401</v>
      </c>
      <c r="E98" s="2">
        <v>2</v>
      </c>
      <c r="F98" s="2" t="s">
        <v>421</v>
      </c>
      <c r="G98" s="2">
        <v>3</v>
      </c>
      <c r="H98" s="2" t="s">
        <v>143</v>
      </c>
      <c r="I98" s="2">
        <v>4</v>
      </c>
      <c r="K98" s="169"/>
      <c r="L98" s="2" t="s">
        <v>3016</v>
      </c>
      <c r="M98" s="2">
        <v>60</v>
      </c>
      <c r="N98" s="2" t="s">
        <v>438</v>
      </c>
      <c r="O98" s="2">
        <v>2</v>
      </c>
      <c r="P98" s="2" t="s">
        <v>414</v>
      </c>
      <c r="Q98" s="2">
        <v>6</v>
      </c>
      <c r="R98" s="2" t="s">
        <v>273</v>
      </c>
      <c r="S98" s="2">
        <v>5</v>
      </c>
    </row>
    <row r="99" spans="1:19">
      <c r="A99" s="167"/>
      <c r="B99" s="2" t="s">
        <v>1466</v>
      </c>
      <c r="C99" s="2">
        <v>85</v>
      </c>
      <c r="D99" s="2" t="s">
        <v>405</v>
      </c>
      <c r="E99" s="2">
        <v>1</v>
      </c>
      <c r="F99" s="2" t="s">
        <v>402</v>
      </c>
      <c r="G99" s="2">
        <v>1</v>
      </c>
      <c r="H99" s="2" t="s">
        <v>418</v>
      </c>
      <c r="I99" s="2">
        <v>1</v>
      </c>
      <c r="K99" s="169"/>
      <c r="L99" s="2" t="s">
        <v>3017</v>
      </c>
      <c r="M99" s="2">
        <v>62</v>
      </c>
      <c r="N99" s="2" t="s">
        <v>439</v>
      </c>
      <c r="O99" s="2">
        <v>2</v>
      </c>
      <c r="P99" s="2" t="s">
        <v>415</v>
      </c>
      <c r="Q99" s="2">
        <v>5</v>
      </c>
      <c r="R99" s="2" t="s">
        <v>273</v>
      </c>
      <c r="S99" s="2">
        <v>5</v>
      </c>
    </row>
    <row r="100" spans="1:19">
      <c r="A100" s="167"/>
      <c r="B100" s="2" t="s">
        <v>1467</v>
      </c>
      <c r="C100" s="2">
        <v>90</v>
      </c>
      <c r="D100" s="2" t="s">
        <v>423</v>
      </c>
      <c r="E100" s="2">
        <v>1</v>
      </c>
      <c r="F100" s="2" t="s">
        <v>403</v>
      </c>
      <c r="G100" s="2">
        <v>1</v>
      </c>
      <c r="H100" s="2" t="s">
        <v>1107</v>
      </c>
      <c r="I100" s="2">
        <v>1</v>
      </c>
      <c r="K100" s="169"/>
      <c r="L100" s="2" t="s">
        <v>3018</v>
      </c>
      <c r="M100" s="2">
        <v>64</v>
      </c>
      <c r="N100" s="2" t="s">
        <v>440</v>
      </c>
      <c r="O100" s="2">
        <v>2</v>
      </c>
      <c r="P100" s="2" t="s">
        <v>416</v>
      </c>
      <c r="Q100" s="2">
        <v>5</v>
      </c>
      <c r="R100" s="2" t="s">
        <v>274</v>
      </c>
      <c r="S100" s="2">
        <v>5</v>
      </c>
    </row>
    <row r="101" spans="1:19">
      <c r="A101" s="167"/>
      <c r="B101" s="2" t="s">
        <v>1468</v>
      </c>
      <c r="C101" s="2">
        <v>95</v>
      </c>
      <c r="D101" s="2" t="s">
        <v>424</v>
      </c>
      <c r="E101" s="2">
        <v>1</v>
      </c>
      <c r="F101" s="2" t="s">
        <v>404</v>
      </c>
      <c r="G101" s="2">
        <v>1</v>
      </c>
      <c r="H101" s="2" t="s">
        <v>421</v>
      </c>
      <c r="I101" s="2">
        <v>1</v>
      </c>
      <c r="K101" s="169"/>
      <c r="L101" s="2" t="s">
        <v>3019</v>
      </c>
      <c r="M101" s="2">
        <v>66</v>
      </c>
      <c r="N101" s="2" t="s">
        <v>441</v>
      </c>
      <c r="O101" s="2">
        <v>2</v>
      </c>
      <c r="P101" s="2" t="s">
        <v>417</v>
      </c>
      <c r="Q101" s="2">
        <v>5</v>
      </c>
      <c r="R101" s="2" t="s">
        <v>274</v>
      </c>
      <c r="S101" s="2">
        <v>5</v>
      </c>
    </row>
    <row r="102" spans="1:19">
      <c r="A102" s="167"/>
      <c r="B102" s="2" t="s">
        <v>2409</v>
      </c>
      <c r="C102" s="2">
        <v>110</v>
      </c>
      <c r="D102" s="2" t="s">
        <v>1790</v>
      </c>
      <c r="E102" s="2">
        <v>1</v>
      </c>
      <c r="F102" s="2" t="s">
        <v>1787</v>
      </c>
      <c r="G102" s="2">
        <v>1</v>
      </c>
      <c r="H102" s="2" t="s">
        <v>405</v>
      </c>
      <c r="I102" s="2">
        <v>1</v>
      </c>
      <c r="K102" s="169"/>
      <c r="L102" s="2" t="s">
        <v>3020</v>
      </c>
      <c r="M102" s="2">
        <v>50</v>
      </c>
      <c r="N102" s="2" t="s">
        <v>447</v>
      </c>
      <c r="O102" s="2">
        <v>2</v>
      </c>
      <c r="P102" s="2" t="s">
        <v>418</v>
      </c>
      <c r="Q102" s="2">
        <v>8</v>
      </c>
      <c r="R102" s="2" t="s">
        <v>141</v>
      </c>
      <c r="S102" s="2">
        <v>2</v>
      </c>
    </row>
    <row r="103" spans="1:19">
      <c r="A103" s="167"/>
      <c r="B103" s="2" t="s">
        <v>2410</v>
      </c>
      <c r="C103" s="2">
        <v>120</v>
      </c>
      <c r="D103" s="2" t="s">
        <v>1791</v>
      </c>
      <c r="E103" s="2">
        <v>1</v>
      </c>
      <c r="F103" s="2" t="s">
        <v>1788</v>
      </c>
      <c r="G103" s="2">
        <v>1</v>
      </c>
      <c r="H103" s="2" t="s">
        <v>423</v>
      </c>
      <c r="I103" s="2">
        <v>1</v>
      </c>
      <c r="K103" s="169"/>
      <c r="L103" s="2" t="s">
        <v>3021</v>
      </c>
      <c r="M103" s="2">
        <v>65</v>
      </c>
      <c r="N103" s="2" t="s">
        <v>1107</v>
      </c>
      <c r="O103" s="2">
        <v>6</v>
      </c>
      <c r="P103" s="2" t="s">
        <v>418</v>
      </c>
      <c r="Q103" s="2">
        <v>8</v>
      </c>
      <c r="R103" s="2" t="s">
        <v>142</v>
      </c>
      <c r="S103" s="2">
        <v>4</v>
      </c>
    </row>
    <row r="104" spans="1:19">
      <c r="A104" s="167"/>
      <c r="B104" s="2" t="s">
        <v>2411</v>
      </c>
      <c r="C104" s="2">
        <v>130</v>
      </c>
      <c r="D104" s="2" t="s">
        <v>1792</v>
      </c>
      <c r="E104" s="2">
        <v>1</v>
      </c>
      <c r="F104" s="2" t="s">
        <v>1789</v>
      </c>
      <c r="G104" s="2">
        <v>1</v>
      </c>
      <c r="H104" s="2" t="s">
        <v>424</v>
      </c>
      <c r="I104" s="2">
        <v>1</v>
      </c>
      <c r="K104" s="169"/>
      <c r="L104" s="2" t="s">
        <v>3022</v>
      </c>
      <c r="M104" s="2">
        <v>75</v>
      </c>
      <c r="N104" s="2" t="s">
        <v>421</v>
      </c>
      <c r="O104" s="2">
        <v>8</v>
      </c>
      <c r="P104" s="2" t="s">
        <v>401</v>
      </c>
      <c r="Q104" s="2">
        <v>4</v>
      </c>
      <c r="R104" s="2" t="s">
        <v>143</v>
      </c>
      <c r="S104" s="2">
        <v>2</v>
      </c>
    </row>
    <row r="105" spans="1:19">
      <c r="A105" s="167"/>
      <c r="B105" s="2" t="s">
        <v>1875</v>
      </c>
      <c r="C105" s="2">
        <v>140</v>
      </c>
      <c r="D105" s="2" t="s">
        <v>1792</v>
      </c>
      <c r="E105" s="2">
        <v>1</v>
      </c>
      <c r="F105" s="2" t="s">
        <v>1818</v>
      </c>
      <c r="G105" s="2">
        <v>1</v>
      </c>
      <c r="H105" s="2" t="s">
        <v>1795</v>
      </c>
      <c r="I105" s="2">
        <v>1</v>
      </c>
      <c r="K105" s="169"/>
      <c r="L105" s="2" t="s">
        <v>3023</v>
      </c>
      <c r="M105" s="2">
        <v>85</v>
      </c>
      <c r="N105" s="2" t="s">
        <v>405</v>
      </c>
      <c r="O105" s="2">
        <v>4</v>
      </c>
      <c r="P105" s="2" t="s">
        <v>575</v>
      </c>
      <c r="Q105" s="2">
        <v>2</v>
      </c>
      <c r="R105" s="2" t="s">
        <v>275</v>
      </c>
      <c r="S105" s="2">
        <v>2</v>
      </c>
    </row>
    <row r="106" spans="1:19">
      <c r="A106" s="167"/>
      <c r="B106" s="2" t="s">
        <v>1876</v>
      </c>
      <c r="C106" s="2">
        <v>150</v>
      </c>
      <c r="D106" s="2" t="s">
        <v>1792</v>
      </c>
      <c r="E106" s="2">
        <v>1</v>
      </c>
      <c r="F106" s="2" t="s">
        <v>1819</v>
      </c>
      <c r="G106" s="2">
        <v>1</v>
      </c>
      <c r="H106" s="2" t="s">
        <v>1823</v>
      </c>
      <c r="I106" s="2">
        <v>1</v>
      </c>
      <c r="K106" s="169"/>
      <c r="L106" s="2" t="s">
        <v>3024</v>
      </c>
      <c r="M106" s="2">
        <v>90</v>
      </c>
      <c r="N106" s="2" t="s">
        <v>423</v>
      </c>
      <c r="O106" s="2">
        <v>4</v>
      </c>
      <c r="P106" s="2" t="s">
        <v>576</v>
      </c>
      <c r="Q106" s="2">
        <v>2</v>
      </c>
      <c r="R106" s="2" t="s">
        <v>276</v>
      </c>
      <c r="S106" s="2">
        <v>2</v>
      </c>
    </row>
    <row r="107" spans="1:19">
      <c r="A107" s="167"/>
      <c r="B107" s="2" t="s">
        <v>1877</v>
      </c>
      <c r="C107" s="2">
        <v>160</v>
      </c>
      <c r="D107" s="2" t="s">
        <v>1820</v>
      </c>
      <c r="E107" s="2">
        <v>1</v>
      </c>
      <c r="F107" s="2" t="s">
        <v>1819</v>
      </c>
      <c r="G107" s="2">
        <v>1</v>
      </c>
      <c r="H107" s="2" t="s">
        <v>1824</v>
      </c>
      <c r="I107" s="2">
        <v>1</v>
      </c>
      <c r="K107" s="169"/>
      <c r="L107" s="2" t="s">
        <v>3025</v>
      </c>
      <c r="M107" s="2">
        <v>95</v>
      </c>
      <c r="N107" s="2" t="s">
        <v>424</v>
      </c>
      <c r="O107" s="2">
        <v>4</v>
      </c>
      <c r="P107" s="2" t="s">
        <v>1066</v>
      </c>
      <c r="Q107" s="2">
        <v>2</v>
      </c>
      <c r="R107" s="2" t="s">
        <v>277</v>
      </c>
      <c r="S107" s="2">
        <v>2</v>
      </c>
    </row>
    <row r="108" spans="1:19">
      <c r="K108" s="169"/>
      <c r="L108" s="2" t="s">
        <v>2424</v>
      </c>
      <c r="M108" s="2">
        <v>110</v>
      </c>
      <c r="N108" s="2" t="s">
        <v>1790</v>
      </c>
      <c r="O108" s="2">
        <v>4</v>
      </c>
      <c r="P108" s="2" t="s">
        <v>1793</v>
      </c>
      <c r="Q108" s="2">
        <v>1</v>
      </c>
      <c r="R108" s="2" t="s">
        <v>1756</v>
      </c>
      <c r="S108" s="2">
        <v>2</v>
      </c>
    </row>
    <row r="109" spans="1:19">
      <c r="A109" s="168" t="s">
        <v>1469</v>
      </c>
      <c r="B109" s="2" t="s">
        <v>1470</v>
      </c>
      <c r="C109" s="2">
        <v>1</v>
      </c>
      <c r="D109" s="2" t="s">
        <v>119</v>
      </c>
      <c r="E109" s="2">
        <v>3</v>
      </c>
      <c r="F109" s="2" t="s">
        <v>118</v>
      </c>
      <c r="G109" s="2">
        <v>5</v>
      </c>
      <c r="H109" s="2"/>
      <c r="I109" s="2"/>
      <c r="K109" s="169"/>
      <c r="L109" s="2" t="s">
        <v>2425</v>
      </c>
      <c r="M109" s="2">
        <v>120</v>
      </c>
      <c r="N109" s="2" t="s">
        <v>1791</v>
      </c>
      <c r="O109" s="2">
        <v>4</v>
      </c>
      <c r="P109" s="2" t="s">
        <v>1794</v>
      </c>
      <c r="Q109" s="2">
        <v>1</v>
      </c>
      <c r="R109" s="2" t="s">
        <v>1757</v>
      </c>
      <c r="S109" s="2">
        <v>2</v>
      </c>
    </row>
    <row r="110" spans="1:19">
      <c r="A110" s="169"/>
      <c r="B110" s="2" t="s">
        <v>1471</v>
      </c>
      <c r="C110" s="2">
        <v>5</v>
      </c>
      <c r="D110" s="2" t="s">
        <v>120</v>
      </c>
      <c r="E110" s="2">
        <v>2</v>
      </c>
      <c r="F110" s="2" t="s">
        <v>118</v>
      </c>
      <c r="G110" s="2">
        <v>5</v>
      </c>
      <c r="H110" s="2"/>
      <c r="I110" s="2"/>
      <c r="K110" s="169"/>
      <c r="L110" s="2" t="s">
        <v>2426</v>
      </c>
      <c r="M110" s="2">
        <v>130</v>
      </c>
      <c r="N110" s="2" t="s">
        <v>1792</v>
      </c>
      <c r="O110" s="2">
        <v>4</v>
      </c>
      <c r="P110" s="2" t="s">
        <v>1795</v>
      </c>
      <c r="Q110" s="2">
        <v>1</v>
      </c>
      <c r="R110" s="2" t="s">
        <v>1758</v>
      </c>
      <c r="S110" s="2">
        <v>2</v>
      </c>
    </row>
    <row r="111" spans="1:19">
      <c r="A111" s="169"/>
      <c r="B111" s="2" t="s">
        <v>1472</v>
      </c>
      <c r="C111" s="2">
        <v>10</v>
      </c>
      <c r="D111" s="2" t="s">
        <v>406</v>
      </c>
      <c r="E111" s="2">
        <v>2</v>
      </c>
      <c r="F111" s="2" t="s">
        <v>120</v>
      </c>
      <c r="G111" s="2">
        <v>4</v>
      </c>
      <c r="H111" s="2"/>
      <c r="I111" s="2"/>
      <c r="K111" s="169"/>
      <c r="L111" s="2" t="s">
        <v>1897</v>
      </c>
      <c r="M111" s="2">
        <v>140</v>
      </c>
      <c r="N111" s="2" t="s">
        <v>1792</v>
      </c>
      <c r="O111" s="2">
        <v>4</v>
      </c>
      <c r="P111" s="2" t="s">
        <v>1795</v>
      </c>
      <c r="Q111" s="2">
        <v>1</v>
      </c>
      <c r="R111" s="2" t="s">
        <v>1812</v>
      </c>
      <c r="S111" s="2">
        <v>2</v>
      </c>
    </row>
    <row r="112" spans="1:19">
      <c r="A112" s="169"/>
      <c r="B112" s="2" t="s">
        <v>1473</v>
      </c>
      <c r="C112" s="2">
        <v>15</v>
      </c>
      <c r="D112" s="2" t="s">
        <v>407</v>
      </c>
      <c r="E112" s="2">
        <v>2</v>
      </c>
      <c r="F112" s="2" t="s">
        <v>1292</v>
      </c>
      <c r="G112" s="2">
        <v>2</v>
      </c>
      <c r="H112" s="2" t="s">
        <v>121</v>
      </c>
      <c r="I112" s="2">
        <v>2</v>
      </c>
      <c r="K112" s="169"/>
      <c r="L112" s="2" t="s">
        <v>1898</v>
      </c>
      <c r="M112" s="2">
        <v>150</v>
      </c>
      <c r="N112" s="2" t="s">
        <v>1820</v>
      </c>
      <c r="O112" s="2">
        <v>4</v>
      </c>
      <c r="P112" s="2" t="s">
        <v>1823</v>
      </c>
      <c r="Q112" s="2">
        <v>1</v>
      </c>
      <c r="R112" s="2" t="s">
        <v>1812</v>
      </c>
      <c r="S112" s="2">
        <v>2</v>
      </c>
    </row>
    <row r="113" spans="1:19">
      <c r="A113" s="169"/>
      <c r="B113" s="2" t="s">
        <v>1474</v>
      </c>
      <c r="C113" s="2">
        <v>20</v>
      </c>
      <c r="D113" s="2" t="s">
        <v>408</v>
      </c>
      <c r="E113" s="2">
        <v>2</v>
      </c>
      <c r="F113" s="2" t="s">
        <v>1292</v>
      </c>
      <c r="G113" s="2">
        <v>2</v>
      </c>
      <c r="H113" s="2" t="s">
        <v>121</v>
      </c>
      <c r="I113" s="2">
        <v>2</v>
      </c>
      <c r="K113" s="170"/>
      <c r="L113" s="2" t="s">
        <v>1899</v>
      </c>
      <c r="M113" s="2">
        <v>160</v>
      </c>
      <c r="N113" s="2" t="s">
        <v>1820</v>
      </c>
      <c r="O113" s="2">
        <v>4</v>
      </c>
      <c r="P113" s="2" t="s">
        <v>1824</v>
      </c>
      <c r="Q113" s="2">
        <v>1</v>
      </c>
      <c r="R113" s="2" t="s">
        <v>1817</v>
      </c>
      <c r="S113" s="2">
        <v>2</v>
      </c>
    </row>
    <row r="114" spans="1:19">
      <c r="A114" s="169"/>
      <c r="B114" s="2" t="s">
        <v>1475</v>
      </c>
      <c r="C114" s="2">
        <v>25</v>
      </c>
      <c r="D114" s="2" t="s">
        <v>408</v>
      </c>
      <c r="E114" s="2">
        <v>2</v>
      </c>
      <c r="F114" s="2" t="s">
        <v>409</v>
      </c>
      <c r="G114" s="2">
        <v>1</v>
      </c>
      <c r="H114" s="2" t="s">
        <v>123</v>
      </c>
      <c r="I114" s="2">
        <v>2</v>
      </c>
    </row>
    <row r="115" spans="1:19">
      <c r="A115" s="169"/>
      <c r="B115" s="2" t="s">
        <v>1476</v>
      </c>
      <c r="C115" s="2">
        <v>30</v>
      </c>
      <c r="D115" s="2" t="s">
        <v>408</v>
      </c>
      <c r="E115" s="2">
        <v>3</v>
      </c>
      <c r="F115" s="2" t="s">
        <v>409</v>
      </c>
      <c r="G115" s="2">
        <v>1</v>
      </c>
      <c r="H115" s="2" t="s">
        <v>410</v>
      </c>
      <c r="I115" s="2">
        <v>1</v>
      </c>
      <c r="K115" s="167" t="s">
        <v>2450</v>
      </c>
      <c r="L115" s="2" t="s">
        <v>3026</v>
      </c>
      <c r="M115" s="2">
        <v>1</v>
      </c>
      <c r="N115" s="2" t="s">
        <v>408</v>
      </c>
      <c r="O115" s="2">
        <v>1</v>
      </c>
      <c r="P115" s="2"/>
      <c r="Q115" s="2"/>
      <c r="R115" s="2"/>
      <c r="S115" s="2"/>
    </row>
    <row r="116" spans="1:19">
      <c r="A116" s="169"/>
      <c r="B116" s="2" t="s">
        <v>1477</v>
      </c>
      <c r="C116" s="2">
        <v>35</v>
      </c>
      <c r="D116" s="2" t="s">
        <v>412</v>
      </c>
      <c r="E116" s="2">
        <v>3</v>
      </c>
      <c r="F116" s="2" t="s">
        <v>1297</v>
      </c>
      <c r="G116" s="2">
        <v>1</v>
      </c>
      <c r="H116" s="2" t="s">
        <v>123</v>
      </c>
      <c r="I116" s="2">
        <v>1</v>
      </c>
      <c r="K116" s="167"/>
      <c r="L116" s="2" t="s">
        <v>3027</v>
      </c>
      <c r="M116" s="2">
        <v>1</v>
      </c>
      <c r="N116" s="2" t="s">
        <v>425</v>
      </c>
      <c r="O116" s="2">
        <v>1</v>
      </c>
      <c r="P116" s="2" t="s">
        <v>406</v>
      </c>
      <c r="Q116" s="2">
        <v>1</v>
      </c>
      <c r="R116" s="2"/>
      <c r="S116" s="2"/>
    </row>
    <row r="117" spans="1:19">
      <c r="A117" s="169"/>
      <c r="B117" s="2" t="s">
        <v>1478</v>
      </c>
      <c r="C117" s="2">
        <v>40</v>
      </c>
      <c r="D117" s="2" t="s">
        <v>412</v>
      </c>
      <c r="E117" s="2">
        <v>3</v>
      </c>
      <c r="F117" s="2" t="s">
        <v>1297</v>
      </c>
      <c r="G117" s="2">
        <v>1</v>
      </c>
      <c r="H117" s="2" t="s">
        <v>124</v>
      </c>
      <c r="I117" s="2">
        <v>2</v>
      </c>
      <c r="K117" s="167"/>
      <c r="L117" s="2" t="s">
        <v>3028</v>
      </c>
      <c r="M117" s="2">
        <v>5</v>
      </c>
      <c r="N117" s="2" t="s">
        <v>426</v>
      </c>
      <c r="O117" s="2">
        <v>1</v>
      </c>
      <c r="P117" s="2" t="s">
        <v>407</v>
      </c>
      <c r="Q117" s="2">
        <v>1</v>
      </c>
      <c r="R117" s="2"/>
      <c r="S117" s="2"/>
    </row>
    <row r="118" spans="1:19">
      <c r="A118" s="169"/>
      <c r="B118" s="2" t="s">
        <v>1479</v>
      </c>
      <c r="C118" s="2">
        <v>45</v>
      </c>
      <c r="D118" s="2" t="s">
        <v>412</v>
      </c>
      <c r="E118" s="2">
        <v>3</v>
      </c>
      <c r="F118" s="2" t="s">
        <v>269</v>
      </c>
      <c r="G118" s="2">
        <v>3</v>
      </c>
      <c r="H118" s="2" t="s">
        <v>124</v>
      </c>
      <c r="I118" s="2">
        <v>2</v>
      </c>
      <c r="K118" s="167"/>
      <c r="L118" s="2" t="s">
        <v>3029</v>
      </c>
      <c r="M118" s="2">
        <v>10</v>
      </c>
      <c r="N118" s="2" t="s">
        <v>427</v>
      </c>
      <c r="O118" s="2">
        <v>1</v>
      </c>
      <c r="P118" s="2" t="s">
        <v>407</v>
      </c>
      <c r="Q118" s="2">
        <v>1</v>
      </c>
      <c r="R118" s="2"/>
      <c r="S118" s="2"/>
    </row>
    <row r="119" spans="1:19">
      <c r="A119" s="169"/>
      <c r="B119" s="2" t="s">
        <v>1480</v>
      </c>
      <c r="C119" s="2">
        <v>50</v>
      </c>
      <c r="D119" s="2" t="s">
        <v>412</v>
      </c>
      <c r="E119" s="2">
        <v>4</v>
      </c>
      <c r="F119" s="2" t="s">
        <v>126</v>
      </c>
      <c r="G119" s="2">
        <v>2</v>
      </c>
      <c r="H119" s="2"/>
      <c r="I119" s="2"/>
      <c r="K119" s="167"/>
      <c r="L119" s="2" t="s">
        <v>3030</v>
      </c>
      <c r="M119" s="2">
        <v>15</v>
      </c>
      <c r="N119" s="2" t="s">
        <v>429</v>
      </c>
      <c r="O119" s="2">
        <v>1</v>
      </c>
      <c r="P119" s="2" t="s">
        <v>408</v>
      </c>
      <c r="Q119" s="2">
        <v>1</v>
      </c>
      <c r="R119" s="2"/>
      <c r="S119" s="2"/>
    </row>
    <row r="120" spans="1:19">
      <c r="A120" s="169"/>
      <c r="B120" s="2" t="s">
        <v>1481</v>
      </c>
      <c r="C120" s="2">
        <v>55</v>
      </c>
      <c r="D120" s="2" t="s">
        <v>414</v>
      </c>
      <c r="E120" s="2">
        <v>2</v>
      </c>
      <c r="F120" s="2" t="s">
        <v>409</v>
      </c>
      <c r="G120" s="2">
        <v>3</v>
      </c>
      <c r="H120" s="2" t="s">
        <v>126</v>
      </c>
      <c r="I120" s="2">
        <v>2</v>
      </c>
      <c r="K120" s="167"/>
      <c r="L120" s="2" t="s">
        <v>3031</v>
      </c>
      <c r="M120" s="2">
        <v>20</v>
      </c>
      <c r="N120" s="2" t="s">
        <v>430</v>
      </c>
      <c r="O120" s="2">
        <v>1</v>
      </c>
      <c r="P120" s="2" t="s">
        <v>408</v>
      </c>
      <c r="Q120" s="2">
        <v>1</v>
      </c>
      <c r="R120" s="2"/>
      <c r="S120" s="2"/>
    </row>
    <row r="121" spans="1:19">
      <c r="A121" s="169"/>
      <c r="B121" s="2" t="s">
        <v>1482</v>
      </c>
      <c r="C121" s="2">
        <v>60</v>
      </c>
      <c r="D121" s="2" t="s">
        <v>414</v>
      </c>
      <c r="E121" s="2">
        <v>3</v>
      </c>
      <c r="F121" s="2" t="s">
        <v>271</v>
      </c>
      <c r="G121" s="2">
        <v>2</v>
      </c>
      <c r="H121" s="2" t="s">
        <v>126</v>
      </c>
      <c r="I121" s="2">
        <v>2</v>
      </c>
      <c r="K121" s="167"/>
      <c r="L121" s="2" t="s">
        <v>3032</v>
      </c>
      <c r="M121" s="2">
        <v>25</v>
      </c>
      <c r="N121" s="2" t="s">
        <v>410</v>
      </c>
      <c r="O121" s="2">
        <v>1</v>
      </c>
      <c r="P121" s="2" t="s">
        <v>409</v>
      </c>
      <c r="Q121" s="2">
        <v>1</v>
      </c>
      <c r="R121" s="2"/>
      <c r="S121" s="2"/>
    </row>
    <row r="122" spans="1:19">
      <c r="A122" s="169"/>
      <c r="B122" s="2" t="s">
        <v>1483</v>
      </c>
      <c r="C122" s="2">
        <v>65</v>
      </c>
      <c r="D122" s="2" t="s">
        <v>415</v>
      </c>
      <c r="E122" s="2">
        <v>3</v>
      </c>
      <c r="F122" s="2" t="s">
        <v>1484</v>
      </c>
      <c r="G122" s="2">
        <v>1</v>
      </c>
      <c r="H122" s="2" t="s">
        <v>129</v>
      </c>
      <c r="I122" s="2">
        <v>2</v>
      </c>
      <c r="K122" s="167"/>
      <c r="L122" s="2" t="s">
        <v>3033</v>
      </c>
      <c r="M122" s="2">
        <v>30</v>
      </c>
      <c r="N122" s="2" t="s">
        <v>431</v>
      </c>
      <c r="O122" s="2">
        <v>1</v>
      </c>
      <c r="P122" s="2" t="s">
        <v>409</v>
      </c>
      <c r="Q122" s="2">
        <v>1</v>
      </c>
      <c r="R122" s="2"/>
      <c r="S122" s="2"/>
    </row>
    <row r="123" spans="1:19">
      <c r="A123" s="169"/>
      <c r="B123" s="2" t="s">
        <v>1485</v>
      </c>
      <c r="C123" s="2">
        <v>70</v>
      </c>
      <c r="D123" s="2" t="s">
        <v>416</v>
      </c>
      <c r="E123" s="2">
        <v>3</v>
      </c>
      <c r="F123" s="2" t="s">
        <v>274</v>
      </c>
      <c r="G123" s="2">
        <v>1</v>
      </c>
      <c r="H123" s="2" t="s">
        <v>129</v>
      </c>
      <c r="I123" s="2">
        <v>2</v>
      </c>
      <c r="K123" s="167"/>
      <c r="L123" s="2" t="s">
        <v>3034</v>
      </c>
      <c r="M123" s="2">
        <v>35</v>
      </c>
      <c r="N123" s="2" t="s">
        <v>432</v>
      </c>
      <c r="O123" s="2">
        <v>1</v>
      </c>
      <c r="P123" s="2" t="s">
        <v>409</v>
      </c>
      <c r="Q123" s="2">
        <v>1</v>
      </c>
      <c r="R123" s="2"/>
      <c r="S123" s="2"/>
    </row>
    <row r="124" spans="1:19">
      <c r="A124" s="169"/>
      <c r="B124" s="2" t="s">
        <v>1486</v>
      </c>
      <c r="C124" s="2">
        <v>75</v>
      </c>
      <c r="D124" s="2" t="s">
        <v>416</v>
      </c>
      <c r="E124" s="2">
        <v>3</v>
      </c>
      <c r="F124" s="2" t="s">
        <v>140</v>
      </c>
      <c r="G124" s="2">
        <v>1</v>
      </c>
      <c r="H124" s="2" t="s">
        <v>130</v>
      </c>
      <c r="I124" s="2">
        <v>2</v>
      </c>
      <c r="K124" s="167"/>
      <c r="L124" s="2" t="s">
        <v>3035</v>
      </c>
      <c r="M124" s="2">
        <v>40</v>
      </c>
      <c r="N124" s="2" t="s">
        <v>433</v>
      </c>
      <c r="O124" s="2">
        <v>1</v>
      </c>
      <c r="P124" s="2" t="s">
        <v>410</v>
      </c>
      <c r="Q124" s="2">
        <v>1</v>
      </c>
      <c r="R124" s="2"/>
      <c r="S124" s="2"/>
    </row>
    <row r="125" spans="1:19">
      <c r="A125" s="169"/>
      <c r="B125" s="2" t="s">
        <v>1487</v>
      </c>
      <c r="C125" s="2">
        <v>80</v>
      </c>
      <c r="D125" s="2" t="s">
        <v>417</v>
      </c>
      <c r="E125" s="2">
        <v>3</v>
      </c>
      <c r="F125" s="2" t="s">
        <v>140</v>
      </c>
      <c r="G125" s="2">
        <v>1</v>
      </c>
      <c r="H125" s="2" t="s">
        <v>130</v>
      </c>
      <c r="I125" s="2">
        <v>2</v>
      </c>
      <c r="K125" s="167"/>
      <c r="L125" s="2" t="s">
        <v>3036</v>
      </c>
      <c r="M125" s="2">
        <v>45</v>
      </c>
      <c r="N125" s="2" t="s">
        <v>434</v>
      </c>
      <c r="O125" s="2">
        <v>1</v>
      </c>
      <c r="P125" s="2" t="s">
        <v>410</v>
      </c>
      <c r="Q125" s="2">
        <v>1</v>
      </c>
      <c r="R125" s="2"/>
      <c r="S125" s="2"/>
    </row>
    <row r="126" spans="1:19">
      <c r="A126" s="169"/>
      <c r="B126" s="162" t="s">
        <v>1488</v>
      </c>
      <c r="C126" s="162"/>
      <c r="D126" s="162"/>
      <c r="E126" s="162"/>
      <c r="F126" s="162"/>
      <c r="G126" s="162"/>
      <c r="H126" s="162"/>
      <c r="I126" s="162"/>
      <c r="K126" s="167"/>
      <c r="L126" s="2" t="s">
        <v>3037</v>
      </c>
      <c r="M126" s="2">
        <v>50</v>
      </c>
      <c r="N126" s="2" t="s">
        <v>1106</v>
      </c>
      <c r="O126" s="2">
        <v>1</v>
      </c>
      <c r="P126" s="2" t="s">
        <v>410</v>
      </c>
      <c r="Q126" s="2">
        <v>1</v>
      </c>
      <c r="R126" s="2"/>
      <c r="S126" s="2"/>
    </row>
    <row r="127" spans="1:19">
      <c r="A127" s="169"/>
      <c r="B127" s="2" t="s">
        <v>1489</v>
      </c>
      <c r="C127" s="2">
        <v>54</v>
      </c>
      <c r="D127" s="2" t="s">
        <v>435</v>
      </c>
      <c r="E127" s="2">
        <v>1</v>
      </c>
      <c r="F127" s="2" t="s">
        <v>412</v>
      </c>
      <c r="G127" s="2">
        <v>3</v>
      </c>
      <c r="H127" s="2"/>
      <c r="I127" s="2"/>
      <c r="K127" s="167"/>
      <c r="L127" s="2" t="s">
        <v>3038</v>
      </c>
      <c r="M127" s="2">
        <v>53</v>
      </c>
      <c r="N127" s="2" t="s">
        <v>435</v>
      </c>
      <c r="O127" s="2">
        <v>1</v>
      </c>
      <c r="P127" s="2" t="s">
        <v>411</v>
      </c>
      <c r="Q127" s="2">
        <v>1</v>
      </c>
      <c r="R127" s="2"/>
      <c r="S127" s="2"/>
    </row>
    <row r="128" spans="1:19">
      <c r="A128" s="169"/>
      <c r="B128" s="2" t="s">
        <v>1490</v>
      </c>
      <c r="C128" s="2">
        <v>56</v>
      </c>
      <c r="D128" s="2" t="s">
        <v>436</v>
      </c>
      <c r="E128" s="2">
        <v>1</v>
      </c>
      <c r="F128" s="2" t="s">
        <v>412</v>
      </c>
      <c r="G128" s="2">
        <v>4</v>
      </c>
      <c r="H128" s="2"/>
      <c r="I128" s="2"/>
      <c r="K128" s="167"/>
      <c r="L128" s="2" t="s">
        <v>3039</v>
      </c>
      <c r="M128" s="2">
        <v>56</v>
      </c>
      <c r="N128" s="2" t="s">
        <v>436</v>
      </c>
      <c r="O128" s="2">
        <v>1</v>
      </c>
      <c r="P128" s="2" t="s">
        <v>411</v>
      </c>
      <c r="Q128" s="2">
        <v>1</v>
      </c>
      <c r="R128" s="2"/>
      <c r="S128" s="2"/>
    </row>
    <row r="129" spans="1:19">
      <c r="A129" s="169"/>
      <c r="B129" s="2" t="s">
        <v>1491</v>
      </c>
      <c r="C129" s="2">
        <v>58</v>
      </c>
      <c r="D129" s="2" t="s">
        <v>437</v>
      </c>
      <c r="E129" s="2">
        <v>1</v>
      </c>
      <c r="F129" s="2" t="s">
        <v>412</v>
      </c>
      <c r="G129" s="2">
        <v>5</v>
      </c>
      <c r="H129" s="2"/>
      <c r="I129" s="2"/>
      <c r="K129" s="167"/>
      <c r="L129" s="2" t="s">
        <v>3040</v>
      </c>
      <c r="M129" s="2">
        <v>59</v>
      </c>
      <c r="N129" s="2" t="s">
        <v>437</v>
      </c>
      <c r="O129" s="2">
        <v>1</v>
      </c>
      <c r="P129" s="2" t="s">
        <v>411</v>
      </c>
      <c r="Q129" s="2">
        <v>1</v>
      </c>
      <c r="R129" s="2"/>
      <c r="S129" s="2"/>
    </row>
    <row r="130" spans="1:19">
      <c r="A130" s="169"/>
      <c r="B130" s="2" t="s">
        <v>1492</v>
      </c>
      <c r="C130" s="2">
        <v>60</v>
      </c>
      <c r="D130" s="2" t="s">
        <v>438</v>
      </c>
      <c r="E130" s="2">
        <v>1</v>
      </c>
      <c r="F130" s="2" t="s">
        <v>414</v>
      </c>
      <c r="G130" s="2">
        <v>4</v>
      </c>
      <c r="H130" s="2"/>
      <c r="I130" s="2"/>
      <c r="K130" s="167"/>
      <c r="L130" s="2" t="s">
        <v>3041</v>
      </c>
      <c r="M130" s="2">
        <v>62</v>
      </c>
      <c r="N130" s="2" t="s">
        <v>438</v>
      </c>
      <c r="O130" s="2">
        <v>1</v>
      </c>
      <c r="P130" s="2" t="s">
        <v>415</v>
      </c>
      <c r="Q130" s="2">
        <v>1</v>
      </c>
      <c r="R130" s="2"/>
      <c r="S130" s="2"/>
    </row>
    <row r="131" spans="1:19">
      <c r="A131" s="169"/>
      <c r="B131" s="2" t="s">
        <v>1493</v>
      </c>
      <c r="C131" s="2">
        <v>62</v>
      </c>
      <c r="D131" s="2" t="s">
        <v>439</v>
      </c>
      <c r="E131" s="2">
        <v>1</v>
      </c>
      <c r="F131" s="2" t="s">
        <v>414</v>
      </c>
      <c r="G131" s="2">
        <v>5</v>
      </c>
      <c r="H131" s="2"/>
      <c r="I131" s="2"/>
      <c r="K131" s="167"/>
      <c r="L131" s="2" t="s">
        <v>3042</v>
      </c>
      <c r="M131" s="2">
        <v>65</v>
      </c>
      <c r="N131" s="2" t="s">
        <v>439</v>
      </c>
      <c r="O131" s="2">
        <v>1</v>
      </c>
      <c r="P131" s="2" t="s">
        <v>415</v>
      </c>
      <c r="Q131" s="2">
        <v>1</v>
      </c>
      <c r="R131" s="2"/>
      <c r="S131" s="2"/>
    </row>
    <row r="132" spans="1:19">
      <c r="A132" s="169"/>
      <c r="B132" s="2" t="s">
        <v>1494</v>
      </c>
      <c r="C132" s="2">
        <v>64</v>
      </c>
      <c r="D132" s="2" t="s">
        <v>440</v>
      </c>
      <c r="E132" s="2">
        <v>1</v>
      </c>
      <c r="F132" s="2" t="s">
        <v>415</v>
      </c>
      <c r="G132" s="2">
        <v>4</v>
      </c>
      <c r="H132" s="2"/>
      <c r="I132" s="2"/>
      <c r="K132" s="167"/>
      <c r="L132" s="2" t="s">
        <v>3043</v>
      </c>
      <c r="M132" s="2">
        <v>68</v>
      </c>
      <c r="N132" s="2" t="s">
        <v>440</v>
      </c>
      <c r="O132" s="2">
        <v>1</v>
      </c>
      <c r="P132" s="2" t="s">
        <v>415</v>
      </c>
      <c r="Q132" s="2">
        <v>1</v>
      </c>
      <c r="R132" s="2"/>
      <c r="S132" s="2"/>
    </row>
    <row r="133" spans="1:19">
      <c r="A133" s="169"/>
      <c r="B133" s="2" t="s">
        <v>1495</v>
      </c>
      <c r="C133" s="2">
        <v>66</v>
      </c>
      <c r="D133" s="2" t="s">
        <v>441</v>
      </c>
      <c r="E133" s="2">
        <v>1</v>
      </c>
      <c r="F133" s="2" t="s">
        <v>416</v>
      </c>
      <c r="G133" s="2">
        <v>4</v>
      </c>
      <c r="H133" s="2"/>
      <c r="I133" s="2"/>
      <c r="K133" s="167"/>
      <c r="L133" s="2" t="s">
        <v>3044</v>
      </c>
      <c r="M133" s="2">
        <v>72</v>
      </c>
      <c r="N133" s="2" t="s">
        <v>441</v>
      </c>
      <c r="O133" s="2">
        <v>1</v>
      </c>
      <c r="P133" s="2" t="s">
        <v>415</v>
      </c>
      <c r="Q133" s="2">
        <v>1</v>
      </c>
      <c r="R133" s="2" t="s">
        <v>410</v>
      </c>
      <c r="S133" s="2">
        <v>1</v>
      </c>
    </row>
    <row r="134" spans="1:19">
      <c r="A134" s="169"/>
      <c r="B134" s="2" t="s">
        <v>1496</v>
      </c>
      <c r="C134" s="2">
        <v>50</v>
      </c>
      <c r="D134" s="2" t="s">
        <v>418</v>
      </c>
      <c r="E134" s="2">
        <v>4</v>
      </c>
      <c r="F134" s="2" t="s">
        <v>132</v>
      </c>
      <c r="G134" s="2">
        <v>6</v>
      </c>
      <c r="H134" s="2"/>
      <c r="I134" s="2"/>
      <c r="K134" s="167"/>
      <c r="L134" s="2" t="s">
        <v>3045</v>
      </c>
      <c r="M134" s="2">
        <v>80</v>
      </c>
      <c r="N134" s="2" t="s">
        <v>415</v>
      </c>
      <c r="O134" s="2">
        <v>2</v>
      </c>
      <c r="P134" s="2" t="s">
        <v>410</v>
      </c>
      <c r="Q134" s="2">
        <v>1</v>
      </c>
      <c r="R134" s="2" t="s">
        <v>409</v>
      </c>
      <c r="S134" s="2">
        <v>1</v>
      </c>
    </row>
    <row r="135" spans="1:19">
      <c r="A135" s="169"/>
      <c r="B135" s="2" t="s">
        <v>1497</v>
      </c>
      <c r="C135" s="2">
        <v>60</v>
      </c>
      <c r="D135" s="2" t="s">
        <v>1107</v>
      </c>
      <c r="E135" s="2">
        <v>3</v>
      </c>
      <c r="F135" s="2" t="s">
        <v>133</v>
      </c>
      <c r="G135" s="2">
        <v>6</v>
      </c>
      <c r="H135" s="2" t="s">
        <v>142</v>
      </c>
      <c r="I135" s="2">
        <v>6</v>
      </c>
      <c r="K135" s="167"/>
      <c r="L135" s="2" t="s">
        <v>3046</v>
      </c>
      <c r="M135" s="2">
        <v>50</v>
      </c>
      <c r="N135" s="2" t="s">
        <v>447</v>
      </c>
      <c r="O135" s="2">
        <v>1</v>
      </c>
      <c r="P135" s="2" t="s">
        <v>418</v>
      </c>
      <c r="Q135" s="2">
        <v>1</v>
      </c>
      <c r="R135" s="2"/>
      <c r="S135" s="2"/>
    </row>
    <row r="136" spans="1:19">
      <c r="A136" s="169"/>
      <c r="B136" s="2" t="s">
        <v>1498</v>
      </c>
      <c r="C136" s="2">
        <v>75</v>
      </c>
      <c r="D136" s="2" t="s">
        <v>421</v>
      </c>
      <c r="E136" s="2">
        <v>5</v>
      </c>
      <c r="F136" s="2" t="s">
        <v>133</v>
      </c>
      <c r="G136" s="2">
        <v>4</v>
      </c>
      <c r="H136" s="2" t="s">
        <v>134</v>
      </c>
      <c r="I136" s="2">
        <v>4</v>
      </c>
      <c r="K136" s="167"/>
      <c r="L136" s="2" t="s">
        <v>3047</v>
      </c>
      <c r="M136" s="2">
        <v>60</v>
      </c>
      <c r="N136" s="2" t="s">
        <v>448</v>
      </c>
      <c r="O136" s="2">
        <v>1</v>
      </c>
      <c r="P136" s="2" t="s">
        <v>418</v>
      </c>
      <c r="Q136" s="2">
        <v>1</v>
      </c>
      <c r="R136" s="2" t="s">
        <v>1107</v>
      </c>
      <c r="S136" s="2">
        <v>1</v>
      </c>
    </row>
    <row r="137" spans="1:19">
      <c r="A137" s="169"/>
      <c r="B137" s="2" t="s">
        <v>1499</v>
      </c>
      <c r="C137" s="2">
        <v>85</v>
      </c>
      <c r="D137" s="2" t="s">
        <v>405</v>
      </c>
      <c r="E137" s="2">
        <v>3</v>
      </c>
      <c r="F137" s="2" t="s">
        <v>275</v>
      </c>
      <c r="G137" s="2">
        <v>1</v>
      </c>
      <c r="H137" s="2" t="s">
        <v>135</v>
      </c>
      <c r="I137" s="2">
        <v>1</v>
      </c>
      <c r="K137" s="167"/>
      <c r="L137" s="2" t="s">
        <v>3048</v>
      </c>
      <c r="M137" s="2">
        <v>75</v>
      </c>
      <c r="N137" s="2" t="s">
        <v>449</v>
      </c>
      <c r="O137" s="2">
        <v>1</v>
      </c>
      <c r="P137" s="2" t="s">
        <v>421</v>
      </c>
      <c r="Q137" s="2">
        <v>2</v>
      </c>
      <c r="R137" s="2"/>
      <c r="S137" s="2"/>
    </row>
    <row r="138" spans="1:19">
      <c r="A138" s="169"/>
      <c r="B138" s="2" t="s">
        <v>1500</v>
      </c>
      <c r="C138" s="2">
        <v>90</v>
      </c>
      <c r="D138" s="2" t="s">
        <v>423</v>
      </c>
      <c r="E138" s="2">
        <v>3</v>
      </c>
      <c r="F138" s="2" t="s">
        <v>276</v>
      </c>
      <c r="G138" s="2">
        <v>1</v>
      </c>
      <c r="H138" s="2" t="s">
        <v>136</v>
      </c>
      <c r="I138" s="2">
        <v>1</v>
      </c>
      <c r="K138" s="167"/>
      <c r="L138" s="2" t="s">
        <v>3049</v>
      </c>
      <c r="M138" s="2">
        <v>85</v>
      </c>
      <c r="N138" s="2" t="s">
        <v>575</v>
      </c>
      <c r="O138" s="2">
        <v>1</v>
      </c>
      <c r="P138" s="2" t="s">
        <v>447</v>
      </c>
      <c r="Q138" s="2">
        <v>1</v>
      </c>
      <c r="R138" s="2" t="s">
        <v>418</v>
      </c>
      <c r="S138" s="2">
        <v>1</v>
      </c>
    </row>
    <row r="139" spans="1:19">
      <c r="A139" s="169"/>
      <c r="B139" s="2" t="s">
        <v>1501</v>
      </c>
      <c r="C139" s="2">
        <v>95</v>
      </c>
      <c r="D139" s="2" t="s">
        <v>424</v>
      </c>
      <c r="E139" s="2">
        <v>3</v>
      </c>
      <c r="F139" s="2" t="s">
        <v>277</v>
      </c>
      <c r="G139" s="2">
        <v>1</v>
      </c>
      <c r="H139" s="2" t="s">
        <v>137</v>
      </c>
      <c r="I139" s="2">
        <v>1</v>
      </c>
      <c r="K139" s="167"/>
      <c r="L139" s="2" t="s">
        <v>3050</v>
      </c>
      <c r="M139" s="2">
        <v>90</v>
      </c>
      <c r="N139" s="2" t="s">
        <v>576</v>
      </c>
      <c r="O139" s="2">
        <v>1</v>
      </c>
      <c r="P139" s="2" t="s">
        <v>448</v>
      </c>
      <c r="Q139" s="2">
        <v>1</v>
      </c>
      <c r="R139" s="2" t="s">
        <v>1107</v>
      </c>
      <c r="S139" s="2">
        <v>1</v>
      </c>
    </row>
    <row r="140" spans="1:19">
      <c r="A140" s="169"/>
      <c r="B140" s="2" t="s">
        <v>2412</v>
      </c>
      <c r="C140" s="2">
        <v>110</v>
      </c>
      <c r="D140" s="2" t="s">
        <v>1790</v>
      </c>
      <c r="E140" s="2">
        <v>3</v>
      </c>
      <c r="F140" s="2" t="s">
        <v>1753</v>
      </c>
      <c r="G140" s="2">
        <v>1</v>
      </c>
      <c r="H140" s="2" t="s">
        <v>1756</v>
      </c>
      <c r="I140" s="2">
        <v>1</v>
      </c>
      <c r="K140" s="167"/>
      <c r="L140" s="2" t="s">
        <v>3051</v>
      </c>
      <c r="M140" s="2">
        <v>95</v>
      </c>
      <c r="N140" s="2" t="s">
        <v>1066</v>
      </c>
      <c r="O140" s="2">
        <v>1</v>
      </c>
      <c r="P140" s="2" t="s">
        <v>449</v>
      </c>
      <c r="Q140" s="2">
        <v>1</v>
      </c>
      <c r="R140" s="2" t="s">
        <v>421</v>
      </c>
      <c r="S140" s="2">
        <v>1</v>
      </c>
    </row>
    <row r="141" spans="1:19">
      <c r="A141" s="169"/>
      <c r="B141" s="2" t="s">
        <v>2413</v>
      </c>
      <c r="C141" s="2">
        <v>120</v>
      </c>
      <c r="D141" s="2" t="s">
        <v>1791</v>
      </c>
      <c r="E141" s="2">
        <v>3</v>
      </c>
      <c r="F141" s="2" t="s">
        <v>1754</v>
      </c>
      <c r="G141" s="2">
        <v>1</v>
      </c>
      <c r="H141" s="2" t="s">
        <v>1757</v>
      </c>
      <c r="I141" s="2">
        <v>1</v>
      </c>
      <c r="K141" s="167"/>
      <c r="L141" s="2" t="s">
        <v>2427</v>
      </c>
      <c r="M141" s="2">
        <v>110</v>
      </c>
      <c r="N141" s="2" t="s">
        <v>1793</v>
      </c>
      <c r="O141" s="2">
        <v>1</v>
      </c>
      <c r="P141" s="2" t="s">
        <v>575</v>
      </c>
      <c r="Q141" s="2">
        <v>1</v>
      </c>
      <c r="R141" s="2" t="s">
        <v>405</v>
      </c>
      <c r="S141" s="2">
        <v>1</v>
      </c>
    </row>
    <row r="142" spans="1:19">
      <c r="A142" s="169"/>
      <c r="B142" s="2" t="s">
        <v>2414</v>
      </c>
      <c r="C142" s="2">
        <v>130</v>
      </c>
      <c r="D142" s="2" t="s">
        <v>1792</v>
      </c>
      <c r="E142" s="2">
        <v>3</v>
      </c>
      <c r="F142" s="2" t="s">
        <v>1755</v>
      </c>
      <c r="G142" s="2">
        <v>1</v>
      </c>
      <c r="H142" s="2" t="s">
        <v>1758</v>
      </c>
      <c r="I142" s="2">
        <v>1</v>
      </c>
      <c r="K142" s="167"/>
      <c r="L142" s="2" t="s">
        <v>2428</v>
      </c>
      <c r="M142" s="2">
        <v>120</v>
      </c>
      <c r="N142" s="2" t="s">
        <v>1794</v>
      </c>
      <c r="O142" s="2">
        <v>1</v>
      </c>
      <c r="P142" s="2" t="s">
        <v>576</v>
      </c>
      <c r="Q142" s="2">
        <v>1</v>
      </c>
      <c r="R142" s="2" t="s">
        <v>423</v>
      </c>
      <c r="S142" s="2">
        <v>1</v>
      </c>
    </row>
    <row r="143" spans="1:19">
      <c r="A143" s="169"/>
      <c r="B143" s="2" t="s">
        <v>1878</v>
      </c>
      <c r="C143" s="2">
        <v>140</v>
      </c>
      <c r="D143" s="2" t="s">
        <v>1792</v>
      </c>
      <c r="E143" s="2">
        <v>3</v>
      </c>
      <c r="F143" s="2" t="s">
        <v>1879</v>
      </c>
      <c r="G143" s="2">
        <v>1</v>
      </c>
      <c r="H143" s="2" t="s">
        <v>1812</v>
      </c>
      <c r="I143" s="2">
        <v>1</v>
      </c>
      <c r="K143" s="167"/>
      <c r="L143" s="2" t="s">
        <v>2429</v>
      </c>
      <c r="M143" s="2">
        <v>130</v>
      </c>
      <c r="N143" s="2" t="s">
        <v>1795</v>
      </c>
      <c r="O143" s="2">
        <v>1</v>
      </c>
      <c r="P143" s="2" t="s">
        <v>1066</v>
      </c>
      <c r="Q143" s="2">
        <v>1</v>
      </c>
      <c r="R143" s="2" t="s">
        <v>424</v>
      </c>
      <c r="S143" s="2">
        <v>1</v>
      </c>
    </row>
    <row r="144" spans="1:19">
      <c r="A144" s="169"/>
      <c r="B144" s="2" t="s">
        <v>1880</v>
      </c>
      <c r="C144" s="2">
        <v>150</v>
      </c>
      <c r="D144" s="2" t="s">
        <v>1820</v>
      </c>
      <c r="E144" s="2">
        <v>3</v>
      </c>
      <c r="F144" s="2" t="s">
        <v>1881</v>
      </c>
      <c r="G144" s="2">
        <v>1</v>
      </c>
      <c r="H144" s="2" t="s">
        <v>1812</v>
      </c>
      <c r="I144" s="2">
        <v>1</v>
      </c>
      <c r="K144" s="167"/>
      <c r="L144" s="2" t="s">
        <v>1886</v>
      </c>
      <c r="M144" s="2">
        <v>140</v>
      </c>
      <c r="N144" s="2" t="s">
        <v>1823</v>
      </c>
      <c r="O144" s="2">
        <v>1</v>
      </c>
      <c r="P144" s="2" t="s">
        <v>1793</v>
      </c>
      <c r="Q144" s="2">
        <v>1</v>
      </c>
      <c r="R144" s="2" t="s">
        <v>1790</v>
      </c>
      <c r="S144" s="2">
        <v>1</v>
      </c>
    </row>
    <row r="145" spans="1:19">
      <c r="A145" s="170"/>
      <c r="B145" s="2" t="s">
        <v>1882</v>
      </c>
      <c r="C145" s="2">
        <v>160</v>
      </c>
      <c r="D145" s="2" t="s">
        <v>1820</v>
      </c>
      <c r="E145" s="2">
        <v>3</v>
      </c>
      <c r="F145" s="2" t="s">
        <v>1881</v>
      </c>
      <c r="G145" s="2">
        <v>1</v>
      </c>
      <c r="H145" s="2" t="s">
        <v>1817</v>
      </c>
      <c r="I145" s="2">
        <v>1</v>
      </c>
      <c r="K145" s="167"/>
      <c r="L145" s="2" t="s">
        <v>1887</v>
      </c>
      <c r="M145" s="2">
        <v>150</v>
      </c>
      <c r="N145" s="2" t="s">
        <v>1824</v>
      </c>
      <c r="O145" s="2">
        <v>1</v>
      </c>
      <c r="P145" s="2" t="s">
        <v>1794</v>
      </c>
      <c r="Q145" s="2">
        <v>1</v>
      </c>
      <c r="R145" s="2" t="s">
        <v>1791</v>
      </c>
      <c r="S145" s="2">
        <v>1</v>
      </c>
    </row>
    <row r="146" spans="1:19">
      <c r="K146" s="167"/>
      <c r="L146" s="2" t="s">
        <v>1888</v>
      </c>
      <c r="M146" s="2">
        <v>160</v>
      </c>
      <c r="N146" s="2" t="s">
        <v>1824</v>
      </c>
      <c r="O146" s="2">
        <v>1</v>
      </c>
      <c r="P146" s="2" t="s">
        <v>1795</v>
      </c>
      <c r="Q146" s="2">
        <v>1</v>
      </c>
      <c r="R146" s="2" t="s">
        <v>1792</v>
      </c>
      <c r="S146" s="2">
        <v>1</v>
      </c>
    </row>
    <row r="147" spans="1:19">
      <c r="A147" s="167" t="s">
        <v>1502</v>
      </c>
      <c r="B147" s="2" t="s">
        <v>1503</v>
      </c>
      <c r="C147" s="2">
        <v>1</v>
      </c>
      <c r="D147" s="2" t="s">
        <v>390</v>
      </c>
      <c r="E147" s="2">
        <v>1</v>
      </c>
      <c r="F147" s="2"/>
      <c r="G147" s="2"/>
      <c r="H147" s="2"/>
      <c r="I147" s="2"/>
    </row>
    <row r="148" spans="1:19">
      <c r="A148" s="167"/>
      <c r="B148" s="2" t="s">
        <v>1504</v>
      </c>
      <c r="C148" s="2">
        <v>5</v>
      </c>
      <c r="D148" s="2" t="s">
        <v>1289</v>
      </c>
      <c r="E148" s="2">
        <v>2</v>
      </c>
      <c r="F148" s="2" t="s">
        <v>389</v>
      </c>
      <c r="G148" s="2">
        <v>2</v>
      </c>
      <c r="H148" s="2"/>
      <c r="I148" s="2"/>
      <c r="K148" s="167" t="s">
        <v>2451</v>
      </c>
      <c r="L148" s="2" t="s">
        <v>3052</v>
      </c>
      <c r="M148" s="2">
        <v>1</v>
      </c>
      <c r="N148" s="2" t="s">
        <v>425</v>
      </c>
      <c r="O148" s="2">
        <v>1</v>
      </c>
      <c r="P148" s="2" t="s">
        <v>406</v>
      </c>
      <c r="Q148" s="2">
        <v>1</v>
      </c>
      <c r="R148" s="2"/>
      <c r="S148" s="2"/>
    </row>
    <row r="149" spans="1:19">
      <c r="A149" s="167"/>
      <c r="B149" s="2" t="s">
        <v>1505</v>
      </c>
      <c r="C149" s="2">
        <v>10</v>
      </c>
      <c r="D149" s="2" t="s">
        <v>406</v>
      </c>
      <c r="E149" s="2">
        <v>3</v>
      </c>
      <c r="F149" s="2" t="s">
        <v>389</v>
      </c>
      <c r="G149" s="2">
        <v>1</v>
      </c>
      <c r="H149" s="2"/>
      <c r="I149" s="2"/>
      <c r="K149" s="167"/>
      <c r="L149" s="2" t="s">
        <v>3053</v>
      </c>
      <c r="M149" s="2">
        <v>5</v>
      </c>
      <c r="N149" s="2" t="s">
        <v>426</v>
      </c>
      <c r="O149" s="2">
        <v>1</v>
      </c>
      <c r="P149" s="2" t="s">
        <v>407</v>
      </c>
      <c r="Q149" s="2">
        <v>1</v>
      </c>
      <c r="R149" s="2"/>
      <c r="S149" s="2"/>
    </row>
    <row r="150" spans="1:19">
      <c r="A150" s="167"/>
      <c r="B150" s="2" t="s">
        <v>1506</v>
      </c>
      <c r="C150" s="2">
        <v>15</v>
      </c>
      <c r="D150" s="2" t="s">
        <v>1292</v>
      </c>
      <c r="E150" s="2">
        <v>3</v>
      </c>
      <c r="F150" s="2" t="s">
        <v>389</v>
      </c>
      <c r="G150" s="2">
        <v>3</v>
      </c>
      <c r="H150" s="2"/>
      <c r="I150" s="2"/>
      <c r="K150" s="167"/>
      <c r="L150" s="2" t="s">
        <v>3054</v>
      </c>
      <c r="M150" s="2">
        <v>10</v>
      </c>
      <c r="N150" s="2" t="s">
        <v>427</v>
      </c>
      <c r="O150" s="2">
        <v>1</v>
      </c>
      <c r="P150" s="2" t="s">
        <v>407</v>
      </c>
      <c r="Q150" s="2">
        <v>1</v>
      </c>
      <c r="R150" s="2"/>
      <c r="S150" s="2"/>
    </row>
    <row r="151" spans="1:19">
      <c r="A151" s="167"/>
      <c r="B151" s="2" t="s">
        <v>1507</v>
      </c>
      <c r="C151" s="2">
        <v>20</v>
      </c>
      <c r="D151" s="2" t="s">
        <v>407</v>
      </c>
      <c r="E151" s="2">
        <v>3</v>
      </c>
      <c r="F151" s="2" t="s">
        <v>1292</v>
      </c>
      <c r="G151" s="2">
        <v>2</v>
      </c>
      <c r="H151" s="2" t="s">
        <v>389</v>
      </c>
      <c r="I151" s="2">
        <v>2</v>
      </c>
      <c r="K151" s="167"/>
      <c r="L151" s="2" t="s">
        <v>3055</v>
      </c>
      <c r="M151" s="2">
        <v>15</v>
      </c>
      <c r="N151" s="2" t="s">
        <v>429</v>
      </c>
      <c r="O151" s="2">
        <v>1</v>
      </c>
      <c r="P151" s="2" t="s">
        <v>409</v>
      </c>
      <c r="Q151" s="2">
        <v>1</v>
      </c>
      <c r="R151" s="2"/>
      <c r="S151" s="2"/>
    </row>
    <row r="152" spans="1:19">
      <c r="A152" s="167"/>
      <c r="B152" s="2" t="s">
        <v>1508</v>
      </c>
      <c r="C152" s="2">
        <v>25</v>
      </c>
      <c r="D152" s="2" t="s">
        <v>1297</v>
      </c>
      <c r="E152" s="2">
        <v>3</v>
      </c>
      <c r="F152" s="2" t="s">
        <v>391</v>
      </c>
      <c r="G152" s="2">
        <v>3</v>
      </c>
      <c r="H152" s="2"/>
      <c r="I152" s="2"/>
      <c r="K152" s="167"/>
      <c r="L152" s="2" t="s">
        <v>3056</v>
      </c>
      <c r="M152" s="2">
        <v>20</v>
      </c>
      <c r="N152" s="2" t="s">
        <v>430</v>
      </c>
      <c r="O152" s="2">
        <v>1</v>
      </c>
      <c r="P152" s="2" t="s">
        <v>409</v>
      </c>
      <c r="Q152" s="2">
        <v>1</v>
      </c>
      <c r="R152" s="2"/>
      <c r="S152" s="2"/>
    </row>
    <row r="153" spans="1:19">
      <c r="A153" s="167"/>
      <c r="B153" s="2" t="s">
        <v>1509</v>
      </c>
      <c r="C153" s="2">
        <v>30</v>
      </c>
      <c r="D153" s="2" t="s">
        <v>408</v>
      </c>
      <c r="E153" s="2">
        <v>3</v>
      </c>
      <c r="F153" s="2" t="s">
        <v>392</v>
      </c>
      <c r="G153" s="2">
        <v>2</v>
      </c>
      <c r="H153" s="2"/>
      <c r="I153" s="2"/>
      <c r="K153" s="167"/>
      <c r="L153" s="2" t="s">
        <v>3057</v>
      </c>
      <c r="M153" s="2">
        <v>25</v>
      </c>
      <c r="N153" s="2" t="s">
        <v>431</v>
      </c>
      <c r="O153" s="2">
        <v>1</v>
      </c>
      <c r="P153" s="2" t="s">
        <v>409</v>
      </c>
      <c r="Q153" s="2">
        <v>1</v>
      </c>
      <c r="R153" s="2"/>
      <c r="S153" s="2"/>
    </row>
    <row r="154" spans="1:19">
      <c r="A154" s="167"/>
      <c r="B154" s="2" t="s">
        <v>1510</v>
      </c>
      <c r="C154" s="2">
        <v>35</v>
      </c>
      <c r="D154" s="2" t="s">
        <v>269</v>
      </c>
      <c r="E154" s="2">
        <v>4</v>
      </c>
      <c r="F154" s="2" t="s">
        <v>394</v>
      </c>
      <c r="G154" s="2">
        <v>2</v>
      </c>
      <c r="H154" s="2"/>
      <c r="I154" s="2"/>
      <c r="K154" s="167"/>
      <c r="L154" s="2" t="s">
        <v>3058</v>
      </c>
      <c r="M154" s="2">
        <v>30</v>
      </c>
      <c r="N154" s="2" t="s">
        <v>432</v>
      </c>
      <c r="O154" s="2">
        <v>1</v>
      </c>
      <c r="P154" s="2" t="s">
        <v>410</v>
      </c>
      <c r="Q154" s="2">
        <v>1</v>
      </c>
      <c r="R154" s="2"/>
      <c r="S154" s="2"/>
    </row>
    <row r="155" spans="1:19">
      <c r="A155" s="167"/>
      <c r="B155" s="2" t="s">
        <v>1511</v>
      </c>
      <c r="C155" s="2">
        <v>40</v>
      </c>
      <c r="D155" s="2" t="s">
        <v>412</v>
      </c>
      <c r="E155" s="2">
        <v>2</v>
      </c>
      <c r="F155" s="2" t="s">
        <v>394</v>
      </c>
      <c r="G155" s="2">
        <v>2</v>
      </c>
      <c r="H155" s="2"/>
      <c r="I155" s="2"/>
      <c r="K155" s="167"/>
      <c r="L155" s="2" t="s">
        <v>3059</v>
      </c>
      <c r="M155" s="2">
        <v>35</v>
      </c>
      <c r="N155" s="2" t="s">
        <v>433</v>
      </c>
      <c r="O155" s="2">
        <v>1</v>
      </c>
      <c r="P155" s="2" t="s">
        <v>410</v>
      </c>
      <c r="Q155" s="2">
        <v>1</v>
      </c>
      <c r="R155" s="2"/>
      <c r="S155" s="2"/>
    </row>
    <row r="156" spans="1:19">
      <c r="A156" s="167"/>
      <c r="B156" s="2" t="s">
        <v>1512</v>
      </c>
      <c r="C156" s="2">
        <v>45</v>
      </c>
      <c r="D156" s="2" t="s">
        <v>271</v>
      </c>
      <c r="E156" s="2">
        <v>3</v>
      </c>
      <c r="F156" s="2" t="s">
        <v>394</v>
      </c>
      <c r="G156" s="2">
        <v>3</v>
      </c>
      <c r="H156" s="2"/>
      <c r="I156" s="2"/>
      <c r="K156" s="167"/>
      <c r="L156" s="2" t="s">
        <v>3060</v>
      </c>
      <c r="M156" s="2">
        <v>40</v>
      </c>
      <c r="N156" s="2" t="s">
        <v>410</v>
      </c>
      <c r="O156" s="2">
        <v>1</v>
      </c>
      <c r="P156" s="2" t="s">
        <v>411</v>
      </c>
      <c r="Q156" s="2">
        <v>2</v>
      </c>
      <c r="R156" s="2"/>
      <c r="S156" s="2"/>
    </row>
    <row r="157" spans="1:19">
      <c r="A157" s="167"/>
      <c r="B157" s="2" t="s">
        <v>1513</v>
      </c>
      <c r="C157" s="2">
        <v>50</v>
      </c>
      <c r="D157" s="2" t="s">
        <v>414</v>
      </c>
      <c r="E157" s="2">
        <v>2</v>
      </c>
      <c r="F157" s="2" t="s">
        <v>396</v>
      </c>
      <c r="G157" s="2">
        <v>2</v>
      </c>
      <c r="H157" s="2"/>
      <c r="I157" s="2"/>
      <c r="K157" s="167"/>
      <c r="L157" s="2" t="s">
        <v>3061</v>
      </c>
      <c r="M157" s="2">
        <v>45</v>
      </c>
      <c r="N157" s="2" t="s">
        <v>270</v>
      </c>
      <c r="O157" s="2">
        <v>1</v>
      </c>
      <c r="P157" s="2" t="s">
        <v>411</v>
      </c>
      <c r="Q157" s="2">
        <v>2</v>
      </c>
      <c r="R157" s="2"/>
      <c r="S157" s="2"/>
    </row>
    <row r="158" spans="1:19">
      <c r="A158" s="167"/>
      <c r="B158" s="2" t="s">
        <v>1514</v>
      </c>
      <c r="C158" s="2">
        <v>55</v>
      </c>
      <c r="D158" s="2" t="s">
        <v>273</v>
      </c>
      <c r="E158" s="2">
        <v>3</v>
      </c>
      <c r="F158" s="2" t="s">
        <v>412</v>
      </c>
      <c r="G158" s="2">
        <v>3</v>
      </c>
      <c r="H158" s="2" t="s">
        <v>396</v>
      </c>
      <c r="I158" s="2">
        <v>2</v>
      </c>
      <c r="K158" s="167"/>
      <c r="L158" s="2" t="s">
        <v>3062</v>
      </c>
      <c r="M158" s="2">
        <v>50</v>
      </c>
      <c r="N158" s="2" t="s">
        <v>434</v>
      </c>
      <c r="O158" s="2">
        <v>1</v>
      </c>
      <c r="P158" s="2" t="s">
        <v>410</v>
      </c>
      <c r="Q158" s="2">
        <v>1</v>
      </c>
      <c r="R158" s="2"/>
      <c r="S158" s="2"/>
    </row>
    <row r="159" spans="1:19">
      <c r="A159" s="167"/>
      <c r="B159" s="2" t="s">
        <v>1515</v>
      </c>
      <c r="C159" s="2">
        <v>60</v>
      </c>
      <c r="D159" s="2" t="s">
        <v>415</v>
      </c>
      <c r="E159" s="2">
        <v>2</v>
      </c>
      <c r="F159" s="2" t="s">
        <v>412</v>
      </c>
      <c r="G159" s="2">
        <v>1</v>
      </c>
      <c r="H159" s="2" t="s">
        <v>396</v>
      </c>
      <c r="I159" s="2">
        <v>2</v>
      </c>
      <c r="K159" s="167"/>
      <c r="L159" s="2" t="s">
        <v>3063</v>
      </c>
      <c r="M159" s="2">
        <v>55</v>
      </c>
      <c r="N159" s="2" t="s">
        <v>1106</v>
      </c>
      <c r="O159" s="2">
        <v>1</v>
      </c>
      <c r="P159" s="2" t="s">
        <v>410</v>
      </c>
      <c r="Q159" s="2">
        <v>1</v>
      </c>
      <c r="R159" s="2"/>
      <c r="S159" s="2"/>
    </row>
    <row r="160" spans="1:19">
      <c r="A160" s="167"/>
      <c r="B160" s="2" t="s">
        <v>1516</v>
      </c>
      <c r="C160" s="2">
        <v>65</v>
      </c>
      <c r="D160" s="2" t="s">
        <v>274</v>
      </c>
      <c r="E160" s="2">
        <v>2</v>
      </c>
      <c r="F160" s="2" t="s">
        <v>398</v>
      </c>
      <c r="G160" s="2">
        <v>2</v>
      </c>
      <c r="H160" s="2"/>
      <c r="I160" s="2"/>
      <c r="K160" s="167"/>
      <c r="L160" s="2" t="s">
        <v>3064</v>
      </c>
      <c r="M160" s="2">
        <v>60</v>
      </c>
      <c r="N160" s="2" t="s">
        <v>442</v>
      </c>
      <c r="O160" s="2">
        <v>1</v>
      </c>
      <c r="P160" s="2" t="s">
        <v>411</v>
      </c>
      <c r="Q160" s="2">
        <v>1</v>
      </c>
      <c r="R160" s="2"/>
      <c r="S160" s="2"/>
    </row>
    <row r="161" spans="1:19">
      <c r="A161" s="167"/>
      <c r="B161" s="2" t="s">
        <v>1517</v>
      </c>
      <c r="C161" s="2">
        <v>70</v>
      </c>
      <c r="D161" s="2" t="s">
        <v>416</v>
      </c>
      <c r="E161" s="2">
        <v>2</v>
      </c>
      <c r="F161" s="2" t="s">
        <v>412</v>
      </c>
      <c r="G161" s="2">
        <v>2</v>
      </c>
      <c r="H161" s="2" t="s">
        <v>398</v>
      </c>
      <c r="I161" s="2">
        <v>1</v>
      </c>
      <c r="K161" s="167"/>
      <c r="L161" s="2" t="s">
        <v>3065</v>
      </c>
      <c r="M161" s="2">
        <v>62</v>
      </c>
      <c r="N161" s="2" t="s">
        <v>443</v>
      </c>
      <c r="O161" s="2">
        <v>1</v>
      </c>
      <c r="P161" s="2" t="s">
        <v>415</v>
      </c>
      <c r="Q161" s="2">
        <v>1</v>
      </c>
      <c r="R161" s="2"/>
      <c r="S161" s="2"/>
    </row>
    <row r="162" spans="1:19">
      <c r="A162" s="167"/>
      <c r="B162" s="2" t="s">
        <v>1518</v>
      </c>
      <c r="C162" s="2">
        <v>75</v>
      </c>
      <c r="D162" s="2" t="s">
        <v>140</v>
      </c>
      <c r="E162" s="2">
        <v>2</v>
      </c>
      <c r="F162" s="2" t="s">
        <v>412</v>
      </c>
      <c r="G162" s="2">
        <v>2</v>
      </c>
      <c r="H162" s="2" t="s">
        <v>398</v>
      </c>
      <c r="I162" s="2">
        <v>2</v>
      </c>
      <c r="K162" s="167"/>
      <c r="L162" s="2" t="s">
        <v>3066</v>
      </c>
      <c r="M162" s="2">
        <v>64</v>
      </c>
      <c r="N162" s="2" t="s">
        <v>444</v>
      </c>
      <c r="O162" s="2">
        <v>1</v>
      </c>
      <c r="P162" s="2" t="s">
        <v>415</v>
      </c>
      <c r="Q162" s="2">
        <v>1</v>
      </c>
      <c r="R162" s="2"/>
      <c r="S162" s="2"/>
    </row>
    <row r="163" spans="1:19">
      <c r="A163" s="167"/>
      <c r="B163" s="2" t="s">
        <v>1519</v>
      </c>
      <c r="C163" s="2">
        <v>80</v>
      </c>
      <c r="D163" s="2" t="s">
        <v>417</v>
      </c>
      <c r="E163" s="2">
        <v>2</v>
      </c>
      <c r="F163" s="2" t="s">
        <v>412</v>
      </c>
      <c r="G163" s="2">
        <v>2</v>
      </c>
      <c r="H163" s="2" t="s">
        <v>398</v>
      </c>
      <c r="I163" s="2">
        <v>1</v>
      </c>
      <c r="K163" s="167"/>
      <c r="L163" s="2" t="s">
        <v>3067</v>
      </c>
      <c r="M163" s="2">
        <v>66</v>
      </c>
      <c r="N163" s="2" t="s">
        <v>445</v>
      </c>
      <c r="O163" s="2">
        <v>1</v>
      </c>
      <c r="P163" s="2" t="s">
        <v>415</v>
      </c>
      <c r="Q163" s="2">
        <v>1</v>
      </c>
      <c r="R163" s="2"/>
      <c r="S163" s="2"/>
    </row>
    <row r="164" spans="1:19">
      <c r="A164" s="167"/>
      <c r="B164" s="162" t="s">
        <v>1520</v>
      </c>
      <c r="C164" s="162"/>
      <c r="D164" s="162"/>
      <c r="E164" s="162"/>
      <c r="F164" s="162"/>
      <c r="G164" s="162"/>
      <c r="H164" s="162"/>
      <c r="I164" s="162"/>
      <c r="K164" s="167"/>
      <c r="L164" s="2" t="s">
        <v>3068</v>
      </c>
      <c r="M164" s="2">
        <v>68</v>
      </c>
      <c r="N164" s="2" t="s">
        <v>446</v>
      </c>
      <c r="O164" s="2">
        <v>1</v>
      </c>
      <c r="P164" s="2" t="s">
        <v>415</v>
      </c>
      <c r="Q164" s="2">
        <v>1</v>
      </c>
      <c r="R164" s="2"/>
      <c r="S164" s="2"/>
    </row>
    <row r="165" spans="1:19">
      <c r="A165" s="167"/>
      <c r="B165" s="2" t="s">
        <v>1521</v>
      </c>
      <c r="C165" s="2">
        <v>54</v>
      </c>
      <c r="D165" s="2" t="s">
        <v>425</v>
      </c>
      <c r="E165" s="2">
        <v>1</v>
      </c>
      <c r="F165" s="2" t="s">
        <v>414</v>
      </c>
      <c r="G165" s="2">
        <v>4</v>
      </c>
      <c r="H165" s="2" t="s">
        <v>394</v>
      </c>
      <c r="I165" s="2">
        <v>2</v>
      </c>
      <c r="K165" s="167"/>
      <c r="L165" s="2" t="s">
        <v>3069</v>
      </c>
      <c r="M165" s="2">
        <v>80</v>
      </c>
      <c r="N165" s="2" t="s">
        <v>432</v>
      </c>
      <c r="O165" s="2">
        <v>1</v>
      </c>
      <c r="P165" s="2" t="s">
        <v>431</v>
      </c>
      <c r="Q165" s="2">
        <v>1</v>
      </c>
      <c r="R165" s="2" t="s">
        <v>415</v>
      </c>
      <c r="S165" s="2">
        <v>1</v>
      </c>
    </row>
    <row r="166" spans="1:19">
      <c r="A166" s="167"/>
      <c r="B166" s="2" t="s">
        <v>1522</v>
      </c>
      <c r="C166" s="2">
        <v>63</v>
      </c>
      <c r="D166" s="2" t="s">
        <v>431</v>
      </c>
      <c r="E166" s="2">
        <v>1</v>
      </c>
      <c r="F166" s="2" t="s">
        <v>432</v>
      </c>
      <c r="G166" s="2">
        <v>1</v>
      </c>
      <c r="H166" s="2" t="s">
        <v>415</v>
      </c>
      <c r="I166" s="2">
        <v>3</v>
      </c>
      <c r="K166" s="167"/>
      <c r="L166" s="2" t="s">
        <v>3070</v>
      </c>
      <c r="M166" s="2">
        <v>80</v>
      </c>
      <c r="N166" s="2" t="s">
        <v>434</v>
      </c>
      <c r="O166" s="2">
        <v>1</v>
      </c>
      <c r="P166" s="2" t="s">
        <v>430</v>
      </c>
      <c r="Q166" s="2">
        <v>1</v>
      </c>
      <c r="R166" s="2" t="s">
        <v>415</v>
      </c>
      <c r="S166" s="2">
        <v>1</v>
      </c>
    </row>
    <row r="167" spans="1:19">
      <c r="A167" s="167"/>
      <c r="B167" s="2" t="s">
        <v>1523</v>
      </c>
      <c r="C167" s="2">
        <v>67</v>
      </c>
      <c r="D167" s="2" t="s">
        <v>427</v>
      </c>
      <c r="E167" s="2">
        <v>1</v>
      </c>
      <c r="F167" s="2" t="s">
        <v>398</v>
      </c>
      <c r="G167" s="2">
        <v>2</v>
      </c>
      <c r="H167" s="2" t="s">
        <v>389</v>
      </c>
      <c r="I167" s="2">
        <v>3</v>
      </c>
      <c r="K167" s="167"/>
      <c r="L167" s="2" t="s">
        <v>3071</v>
      </c>
      <c r="M167" s="2">
        <v>80</v>
      </c>
      <c r="N167" s="2" t="s">
        <v>427</v>
      </c>
      <c r="O167" s="2">
        <v>1</v>
      </c>
      <c r="P167" s="2" t="s">
        <v>433</v>
      </c>
      <c r="Q167" s="2">
        <v>1</v>
      </c>
      <c r="R167" s="2" t="s">
        <v>415</v>
      </c>
      <c r="S167" s="2">
        <v>1</v>
      </c>
    </row>
    <row r="168" spans="1:19">
      <c r="A168" s="167"/>
      <c r="B168" s="2" t="s">
        <v>1524</v>
      </c>
      <c r="C168" s="2">
        <v>72</v>
      </c>
      <c r="D168" s="2" t="s">
        <v>429</v>
      </c>
      <c r="E168" s="2">
        <v>1</v>
      </c>
      <c r="F168" s="2" t="s">
        <v>1106</v>
      </c>
      <c r="G168" s="2">
        <v>1</v>
      </c>
      <c r="H168" s="2" t="s">
        <v>416</v>
      </c>
      <c r="I168" s="2">
        <v>4</v>
      </c>
      <c r="K168" s="167"/>
      <c r="L168" s="2" t="s">
        <v>3072</v>
      </c>
      <c r="M168" s="2">
        <v>50</v>
      </c>
      <c r="N168" s="2" t="s">
        <v>447</v>
      </c>
      <c r="O168" s="2">
        <v>1</v>
      </c>
      <c r="P168" s="2" t="s">
        <v>418</v>
      </c>
      <c r="Q168" s="2">
        <v>2</v>
      </c>
      <c r="R168" s="2"/>
      <c r="S168" s="2"/>
    </row>
    <row r="169" spans="1:19">
      <c r="A169" s="167"/>
      <c r="B169" s="2" t="s">
        <v>1525</v>
      </c>
      <c r="C169" s="2">
        <v>50</v>
      </c>
      <c r="D169" s="2" t="s">
        <v>447</v>
      </c>
      <c r="E169" s="2">
        <v>2</v>
      </c>
      <c r="F169" s="2" t="s">
        <v>418</v>
      </c>
      <c r="G169" s="2">
        <v>2</v>
      </c>
      <c r="H169" s="2" t="s">
        <v>399</v>
      </c>
      <c r="I169" s="2">
        <v>1</v>
      </c>
      <c r="K169" s="167"/>
      <c r="L169" s="2" t="s">
        <v>3073</v>
      </c>
      <c r="M169" s="2">
        <v>60</v>
      </c>
      <c r="N169" s="2" t="s">
        <v>448</v>
      </c>
      <c r="O169" s="2">
        <v>1</v>
      </c>
      <c r="P169" s="2" t="s">
        <v>1107</v>
      </c>
      <c r="Q169" s="2">
        <v>2</v>
      </c>
      <c r="R169" s="2" t="s">
        <v>418</v>
      </c>
      <c r="S169" s="2">
        <v>1</v>
      </c>
    </row>
    <row r="170" spans="1:19">
      <c r="A170" s="167"/>
      <c r="B170" s="2" t="s">
        <v>1526</v>
      </c>
      <c r="C170" s="2">
        <v>60</v>
      </c>
      <c r="D170" s="2" t="s">
        <v>1107</v>
      </c>
      <c r="E170" s="2">
        <v>3</v>
      </c>
      <c r="F170" s="2" t="s">
        <v>418</v>
      </c>
      <c r="G170" s="2">
        <v>3</v>
      </c>
      <c r="H170" s="2" t="s">
        <v>400</v>
      </c>
      <c r="I170" s="2">
        <v>1</v>
      </c>
      <c r="K170" s="167"/>
      <c r="L170" s="2" t="s">
        <v>3074</v>
      </c>
      <c r="M170" s="2">
        <v>75</v>
      </c>
      <c r="N170" s="2" t="s">
        <v>449</v>
      </c>
      <c r="O170" s="2">
        <v>1</v>
      </c>
      <c r="P170" s="2" t="s">
        <v>421</v>
      </c>
      <c r="Q170" s="2">
        <v>2</v>
      </c>
      <c r="R170" s="2" t="s">
        <v>1107</v>
      </c>
      <c r="S170" s="2">
        <v>2</v>
      </c>
    </row>
    <row r="171" spans="1:19">
      <c r="A171" s="167"/>
      <c r="B171" s="2" t="s">
        <v>1527</v>
      </c>
      <c r="C171" s="2">
        <v>75</v>
      </c>
      <c r="D171" s="2" t="s">
        <v>421</v>
      </c>
      <c r="E171" s="2">
        <v>3</v>
      </c>
      <c r="F171" s="2" t="s">
        <v>143</v>
      </c>
      <c r="G171" s="2">
        <v>2</v>
      </c>
      <c r="H171" s="2" t="s">
        <v>401</v>
      </c>
      <c r="I171" s="2">
        <v>3</v>
      </c>
      <c r="K171" s="167"/>
      <c r="L171" s="2" t="s">
        <v>3075</v>
      </c>
      <c r="M171" s="2">
        <v>85</v>
      </c>
      <c r="N171" s="2" t="s">
        <v>575</v>
      </c>
      <c r="O171" s="2">
        <v>1</v>
      </c>
      <c r="P171" s="2" t="s">
        <v>418</v>
      </c>
      <c r="Q171" s="2">
        <v>1</v>
      </c>
      <c r="R171" s="2" t="s">
        <v>135</v>
      </c>
      <c r="S171" s="2">
        <v>1</v>
      </c>
    </row>
    <row r="172" spans="1:19">
      <c r="A172" s="167"/>
      <c r="B172" s="2" t="s">
        <v>1528</v>
      </c>
      <c r="C172" s="2">
        <v>85</v>
      </c>
      <c r="D172" s="2" t="s">
        <v>405</v>
      </c>
      <c r="E172" s="2">
        <v>2</v>
      </c>
      <c r="F172" s="2" t="s">
        <v>402</v>
      </c>
      <c r="G172" s="2">
        <v>1</v>
      </c>
      <c r="H172" s="2" t="s">
        <v>275</v>
      </c>
      <c r="I172" s="2">
        <v>1</v>
      </c>
      <c r="K172" s="167"/>
      <c r="L172" s="2" t="s">
        <v>3076</v>
      </c>
      <c r="M172" s="2">
        <v>90</v>
      </c>
      <c r="N172" s="2" t="s">
        <v>576</v>
      </c>
      <c r="O172" s="2">
        <v>1</v>
      </c>
      <c r="P172" s="2" t="s">
        <v>1107</v>
      </c>
      <c r="Q172" s="2">
        <v>1</v>
      </c>
      <c r="R172" s="2" t="s">
        <v>136</v>
      </c>
      <c r="S172" s="2">
        <v>1</v>
      </c>
    </row>
    <row r="173" spans="1:19">
      <c r="A173" s="167"/>
      <c r="B173" s="2" t="s">
        <v>1529</v>
      </c>
      <c r="C173" s="2">
        <v>90</v>
      </c>
      <c r="D173" s="2" t="s">
        <v>423</v>
      </c>
      <c r="E173" s="2">
        <v>2</v>
      </c>
      <c r="F173" s="2" t="s">
        <v>403</v>
      </c>
      <c r="G173" s="2">
        <v>1</v>
      </c>
      <c r="H173" s="2" t="s">
        <v>276</v>
      </c>
      <c r="I173" s="2">
        <v>1</v>
      </c>
      <c r="K173" s="167"/>
      <c r="L173" s="2" t="s">
        <v>3077</v>
      </c>
      <c r="M173" s="2">
        <v>95</v>
      </c>
      <c r="N173" s="2" t="s">
        <v>1066</v>
      </c>
      <c r="O173" s="2">
        <v>1</v>
      </c>
      <c r="P173" s="2" t="s">
        <v>421</v>
      </c>
      <c r="Q173" s="2">
        <v>1</v>
      </c>
      <c r="R173" s="2" t="s">
        <v>137</v>
      </c>
      <c r="S173" s="2">
        <v>1</v>
      </c>
    </row>
    <row r="174" spans="1:19">
      <c r="A174" s="167"/>
      <c r="B174" s="2" t="s">
        <v>1530</v>
      </c>
      <c r="C174" s="2">
        <v>95</v>
      </c>
      <c r="D174" s="2" t="s">
        <v>424</v>
      </c>
      <c r="E174" s="2">
        <v>2</v>
      </c>
      <c r="F174" s="2" t="s">
        <v>404</v>
      </c>
      <c r="G174" s="2">
        <v>1</v>
      </c>
      <c r="H174" s="2" t="s">
        <v>277</v>
      </c>
      <c r="I174" s="2">
        <v>1</v>
      </c>
      <c r="K174" s="167"/>
      <c r="L174" s="2" t="s">
        <v>2430</v>
      </c>
      <c r="M174" s="2">
        <v>110</v>
      </c>
      <c r="N174" s="2" t="s">
        <v>1793</v>
      </c>
      <c r="O174" s="2">
        <v>1</v>
      </c>
      <c r="P174" s="2" t="s">
        <v>1790</v>
      </c>
      <c r="Q174" s="2">
        <v>1</v>
      </c>
      <c r="R174" s="2" t="s">
        <v>1753</v>
      </c>
      <c r="S174" s="2">
        <v>1</v>
      </c>
    </row>
    <row r="175" spans="1:19">
      <c r="A175" s="167"/>
      <c r="B175" s="2" t="s">
        <v>2415</v>
      </c>
      <c r="C175" s="2">
        <v>110</v>
      </c>
      <c r="D175" s="2" t="s">
        <v>1790</v>
      </c>
      <c r="E175" s="2">
        <v>2</v>
      </c>
      <c r="F175" s="2" t="s">
        <v>1787</v>
      </c>
      <c r="G175" s="2">
        <v>1</v>
      </c>
      <c r="H175" s="2" t="s">
        <v>1756</v>
      </c>
      <c r="I175" s="2">
        <v>1</v>
      </c>
      <c r="K175" s="167"/>
      <c r="L175" s="2" t="s">
        <v>2431</v>
      </c>
      <c r="M175" s="2">
        <v>120</v>
      </c>
      <c r="N175" s="2" t="s">
        <v>1794</v>
      </c>
      <c r="O175" s="2">
        <v>1</v>
      </c>
      <c r="P175" s="2" t="s">
        <v>1791</v>
      </c>
      <c r="Q175" s="2">
        <v>1</v>
      </c>
      <c r="R175" s="2" t="s">
        <v>1754</v>
      </c>
      <c r="S175" s="2">
        <v>1</v>
      </c>
    </row>
    <row r="176" spans="1:19">
      <c r="A176" s="167"/>
      <c r="B176" s="2" t="s">
        <v>2416</v>
      </c>
      <c r="C176" s="2">
        <v>120</v>
      </c>
      <c r="D176" s="2" t="s">
        <v>1791</v>
      </c>
      <c r="E176" s="2">
        <v>2</v>
      </c>
      <c r="F176" s="2" t="s">
        <v>1788</v>
      </c>
      <c r="G176" s="2">
        <v>1</v>
      </c>
      <c r="H176" s="2" t="s">
        <v>1757</v>
      </c>
      <c r="I176" s="2">
        <v>1</v>
      </c>
      <c r="K176" s="167"/>
      <c r="L176" s="2" t="s">
        <v>2432</v>
      </c>
      <c r="M176" s="2">
        <v>130</v>
      </c>
      <c r="N176" s="2" t="s">
        <v>1795</v>
      </c>
      <c r="O176" s="2">
        <v>1</v>
      </c>
      <c r="P176" s="2" t="s">
        <v>1792</v>
      </c>
      <c r="Q176" s="2">
        <v>1</v>
      </c>
      <c r="R176" s="2" t="s">
        <v>1755</v>
      </c>
      <c r="S176" s="2">
        <v>1</v>
      </c>
    </row>
    <row r="177" spans="1:19">
      <c r="A177" s="167"/>
      <c r="B177" s="2" t="s">
        <v>2417</v>
      </c>
      <c r="C177" s="2">
        <v>130</v>
      </c>
      <c r="D177" s="2" t="s">
        <v>1792</v>
      </c>
      <c r="E177" s="2">
        <v>2</v>
      </c>
      <c r="F177" s="2" t="s">
        <v>1789</v>
      </c>
      <c r="G177" s="2">
        <v>1</v>
      </c>
      <c r="H177" s="2" t="s">
        <v>1758</v>
      </c>
      <c r="I177" s="2">
        <v>1</v>
      </c>
      <c r="K177" s="167"/>
      <c r="L177" s="2" t="s">
        <v>1889</v>
      </c>
      <c r="M177" s="2">
        <v>140</v>
      </c>
      <c r="N177" s="2" t="s">
        <v>1823</v>
      </c>
      <c r="O177" s="2">
        <v>1</v>
      </c>
      <c r="P177" s="2" t="s">
        <v>1820</v>
      </c>
      <c r="Q177" s="2">
        <v>1</v>
      </c>
      <c r="R177" s="2" t="s">
        <v>1879</v>
      </c>
      <c r="S177" s="2">
        <v>1</v>
      </c>
    </row>
    <row r="178" spans="1:19">
      <c r="A178" s="167"/>
      <c r="B178" s="2" t="s">
        <v>1883</v>
      </c>
      <c r="C178" s="2">
        <v>140</v>
      </c>
      <c r="D178" s="2" t="s">
        <v>1792</v>
      </c>
      <c r="E178" s="2">
        <v>2</v>
      </c>
      <c r="F178" s="2" t="s">
        <v>1818</v>
      </c>
      <c r="G178" s="2">
        <v>1</v>
      </c>
      <c r="H178" s="2" t="s">
        <v>1758</v>
      </c>
      <c r="I178" s="2">
        <v>2</v>
      </c>
      <c r="K178" s="167"/>
      <c r="L178" s="2" t="s">
        <v>1890</v>
      </c>
      <c r="M178" s="2">
        <v>150</v>
      </c>
      <c r="N178" s="2" t="s">
        <v>1824</v>
      </c>
      <c r="O178" s="2">
        <v>1</v>
      </c>
      <c r="P178" s="2" t="s">
        <v>1820</v>
      </c>
      <c r="Q178" s="2">
        <v>1</v>
      </c>
      <c r="R178" s="2" t="s">
        <v>1881</v>
      </c>
      <c r="S178" s="2">
        <v>1</v>
      </c>
    </row>
    <row r="179" spans="1:19">
      <c r="A179" s="167"/>
      <c r="B179" s="2" t="s">
        <v>1884</v>
      </c>
      <c r="C179" s="2">
        <v>150</v>
      </c>
      <c r="D179" s="2" t="s">
        <v>1792</v>
      </c>
      <c r="E179" s="2">
        <v>2</v>
      </c>
      <c r="F179" s="2" t="s">
        <v>1819</v>
      </c>
      <c r="G179" s="2">
        <v>1</v>
      </c>
      <c r="H179" s="2" t="s">
        <v>1812</v>
      </c>
      <c r="I179" s="2">
        <v>1</v>
      </c>
      <c r="K179" s="167"/>
      <c r="L179" s="2"/>
      <c r="M179" s="2">
        <v>160</v>
      </c>
      <c r="N179" s="2"/>
      <c r="O179" s="2"/>
      <c r="P179" s="2"/>
      <c r="Q179" s="2"/>
      <c r="R179" s="2"/>
      <c r="S179" s="2"/>
    </row>
    <row r="180" spans="1:19">
      <c r="A180" s="167"/>
      <c r="B180" s="2" t="s">
        <v>1885</v>
      </c>
      <c r="C180" s="2">
        <v>160</v>
      </c>
      <c r="D180" s="2" t="s">
        <v>1820</v>
      </c>
      <c r="E180" s="2">
        <v>2</v>
      </c>
      <c r="F180" s="2" t="s">
        <v>1819</v>
      </c>
      <c r="G180" s="2">
        <v>1</v>
      </c>
      <c r="H180" s="2" t="s">
        <v>1812</v>
      </c>
      <c r="I180" s="2">
        <v>1</v>
      </c>
    </row>
    <row r="181" spans="1:19">
      <c r="K181" s="168" t="s">
        <v>1853</v>
      </c>
      <c r="L181" s="162" t="s">
        <v>2760</v>
      </c>
      <c r="M181" s="162"/>
      <c r="N181" s="162"/>
      <c r="O181" s="162"/>
      <c r="P181" s="162"/>
      <c r="Q181" s="162"/>
      <c r="R181" s="162"/>
      <c r="S181" s="162"/>
    </row>
    <row r="182" spans="1:19">
      <c r="A182" s="165" t="s">
        <v>2387</v>
      </c>
      <c r="B182" s="162" t="s">
        <v>2761</v>
      </c>
      <c r="C182" s="162"/>
      <c r="D182" s="162"/>
      <c r="E182" s="162"/>
      <c r="F182" s="162"/>
      <c r="G182" s="162"/>
      <c r="H182" s="162"/>
      <c r="I182" s="162"/>
      <c r="K182" s="169"/>
      <c r="L182" s="2" t="s">
        <v>2762</v>
      </c>
      <c r="M182" s="2">
        <v>1</v>
      </c>
      <c r="N182" s="2" t="s">
        <v>406</v>
      </c>
      <c r="O182" s="2">
        <v>2</v>
      </c>
      <c r="P182" s="2" t="s">
        <v>3352</v>
      </c>
      <c r="Q182" s="2">
        <v>2</v>
      </c>
      <c r="R182" s="2" t="s">
        <v>435</v>
      </c>
      <c r="S182" s="2">
        <v>2</v>
      </c>
    </row>
    <row r="183" spans="1:19">
      <c r="A183" s="166"/>
      <c r="B183" s="2" t="s">
        <v>2388</v>
      </c>
      <c r="C183" s="2">
        <v>1</v>
      </c>
      <c r="D183" s="2" t="s">
        <v>126</v>
      </c>
      <c r="E183" s="2">
        <v>4</v>
      </c>
      <c r="F183" s="2" t="s">
        <v>1292</v>
      </c>
      <c r="G183" s="2">
        <v>2</v>
      </c>
      <c r="H183" s="2" t="s">
        <v>425</v>
      </c>
      <c r="I183" s="2">
        <v>2</v>
      </c>
      <c r="K183" s="169"/>
      <c r="L183" s="2" t="s">
        <v>2763</v>
      </c>
      <c r="M183" s="2">
        <v>10</v>
      </c>
      <c r="N183" s="2" t="s">
        <v>407</v>
      </c>
      <c r="O183" s="2">
        <v>2</v>
      </c>
      <c r="P183" s="2" t="s">
        <v>3352</v>
      </c>
      <c r="Q183" s="2">
        <v>2</v>
      </c>
      <c r="R183" s="2" t="s">
        <v>436</v>
      </c>
      <c r="S183" s="2">
        <v>2</v>
      </c>
    </row>
    <row r="184" spans="1:19">
      <c r="A184" s="166"/>
      <c r="B184" s="2" t="s">
        <v>2507</v>
      </c>
      <c r="C184" s="2">
        <v>10</v>
      </c>
      <c r="D184" s="2" t="s">
        <v>129</v>
      </c>
      <c r="E184" s="2">
        <v>4</v>
      </c>
      <c r="F184" s="2" t="s">
        <v>1297</v>
      </c>
      <c r="G184" s="2">
        <v>2</v>
      </c>
      <c r="H184" s="2" t="s">
        <v>426</v>
      </c>
      <c r="I184" s="2">
        <v>2</v>
      </c>
      <c r="K184" s="169"/>
      <c r="L184" s="2" t="s">
        <v>2764</v>
      </c>
      <c r="M184" s="2">
        <v>20</v>
      </c>
      <c r="N184" s="2" t="s">
        <v>2765</v>
      </c>
      <c r="O184" s="2">
        <v>2</v>
      </c>
      <c r="P184" s="2" t="s">
        <v>3368</v>
      </c>
      <c r="Q184" s="2">
        <v>2</v>
      </c>
      <c r="R184" s="2" t="s">
        <v>437</v>
      </c>
      <c r="S184" s="2">
        <v>2</v>
      </c>
    </row>
    <row r="185" spans="1:19">
      <c r="A185" s="166"/>
      <c r="B185" s="2" t="s">
        <v>2389</v>
      </c>
      <c r="C185" s="2">
        <v>25</v>
      </c>
      <c r="D185" s="2" t="s">
        <v>130</v>
      </c>
      <c r="E185" s="2">
        <v>4</v>
      </c>
      <c r="F185" s="2" t="s">
        <v>1297</v>
      </c>
      <c r="G185" s="2">
        <v>2</v>
      </c>
      <c r="H185" s="2" t="s">
        <v>427</v>
      </c>
      <c r="I185" s="2">
        <v>2</v>
      </c>
      <c r="K185" s="169"/>
      <c r="L185" s="2" t="s">
        <v>2766</v>
      </c>
      <c r="M185" s="2">
        <v>30</v>
      </c>
      <c r="N185" s="2" t="s">
        <v>409</v>
      </c>
      <c r="O185" s="2">
        <v>2</v>
      </c>
      <c r="P185" s="2" t="s">
        <v>3368</v>
      </c>
      <c r="Q185" s="2">
        <v>2</v>
      </c>
      <c r="R185" s="2" t="s">
        <v>438</v>
      </c>
      <c r="S185" s="2">
        <v>2</v>
      </c>
    </row>
    <row r="186" spans="1:19">
      <c r="A186" s="166"/>
      <c r="B186" s="2" t="s">
        <v>2390</v>
      </c>
      <c r="C186" s="2">
        <v>40</v>
      </c>
      <c r="D186" s="2" t="s">
        <v>132</v>
      </c>
      <c r="E186" s="2">
        <v>4</v>
      </c>
      <c r="F186" s="2" t="s">
        <v>271</v>
      </c>
      <c r="G186" s="2">
        <v>2</v>
      </c>
      <c r="H186" s="2" t="s">
        <v>429</v>
      </c>
      <c r="I186" s="2">
        <v>2</v>
      </c>
      <c r="K186" s="169"/>
      <c r="L186" s="2" t="s">
        <v>2767</v>
      </c>
      <c r="M186" s="2">
        <v>40</v>
      </c>
      <c r="N186" s="2" t="s">
        <v>410</v>
      </c>
      <c r="O186" s="2">
        <v>2</v>
      </c>
      <c r="P186" s="2" t="s">
        <v>126</v>
      </c>
      <c r="Q186" s="2">
        <v>2</v>
      </c>
      <c r="R186" s="2" t="s">
        <v>439</v>
      </c>
      <c r="S186" s="2">
        <v>2</v>
      </c>
    </row>
    <row r="187" spans="1:19">
      <c r="A187" s="166"/>
      <c r="B187" s="2" t="s">
        <v>2393</v>
      </c>
      <c r="C187" s="2">
        <v>54</v>
      </c>
      <c r="D187" s="2" t="s">
        <v>134</v>
      </c>
      <c r="E187" s="2">
        <v>4</v>
      </c>
      <c r="F187" s="2" t="s">
        <v>269</v>
      </c>
      <c r="G187" s="2">
        <v>2</v>
      </c>
      <c r="H187" s="2" t="s">
        <v>435</v>
      </c>
      <c r="I187" s="2">
        <v>2</v>
      </c>
      <c r="K187" s="169"/>
      <c r="L187" s="2" t="s">
        <v>2768</v>
      </c>
      <c r="M187" s="2">
        <v>50</v>
      </c>
      <c r="N187" s="1" t="s">
        <v>411</v>
      </c>
      <c r="O187" s="2">
        <v>2</v>
      </c>
      <c r="P187" s="2" t="s">
        <v>126</v>
      </c>
      <c r="Q187" s="2">
        <v>2</v>
      </c>
      <c r="R187" s="2" t="s">
        <v>440</v>
      </c>
      <c r="S187" s="2">
        <v>2</v>
      </c>
    </row>
    <row r="188" spans="1:19">
      <c r="A188" s="166"/>
      <c r="B188" s="2" t="s">
        <v>1900</v>
      </c>
      <c r="C188" s="2">
        <v>55</v>
      </c>
      <c r="D188" s="2" t="s">
        <v>134</v>
      </c>
      <c r="E188" s="2">
        <v>4</v>
      </c>
      <c r="F188" s="2" t="s">
        <v>269</v>
      </c>
      <c r="G188" s="2">
        <v>2</v>
      </c>
      <c r="H188" s="2" t="s">
        <v>425</v>
      </c>
      <c r="I188" s="2">
        <v>3</v>
      </c>
      <c r="K188" s="169"/>
      <c r="L188" s="2" t="s">
        <v>2769</v>
      </c>
      <c r="M188" s="2">
        <v>54</v>
      </c>
      <c r="N188" s="1" t="s">
        <v>413</v>
      </c>
      <c r="O188" s="2">
        <v>2</v>
      </c>
      <c r="P188" s="2" t="s">
        <v>129</v>
      </c>
      <c r="Q188" s="2">
        <v>2</v>
      </c>
      <c r="R188" s="2" t="s">
        <v>441</v>
      </c>
      <c r="S188" s="2">
        <v>2</v>
      </c>
    </row>
    <row r="189" spans="1:19">
      <c r="A189" s="166"/>
      <c r="B189" s="2" t="s">
        <v>2391</v>
      </c>
      <c r="C189" s="2">
        <v>55</v>
      </c>
      <c r="D189" s="2" t="s">
        <v>133</v>
      </c>
      <c r="E189" s="2">
        <v>4</v>
      </c>
      <c r="F189" s="2" t="s">
        <v>271</v>
      </c>
      <c r="G189" s="2">
        <v>2</v>
      </c>
      <c r="H189" s="2" t="s">
        <v>430</v>
      </c>
      <c r="I189" s="2">
        <v>2</v>
      </c>
      <c r="K189" s="169"/>
      <c r="L189" s="2" t="s">
        <v>2771</v>
      </c>
      <c r="M189" s="2">
        <v>56</v>
      </c>
      <c r="N189" s="1" t="s">
        <v>412</v>
      </c>
      <c r="O189" s="2">
        <v>2</v>
      </c>
      <c r="P189" s="2" t="s">
        <v>129</v>
      </c>
      <c r="Q189" s="2">
        <v>2</v>
      </c>
      <c r="R189" s="2" t="s">
        <v>441</v>
      </c>
      <c r="S189" s="2">
        <v>2</v>
      </c>
    </row>
    <row r="190" spans="1:19">
      <c r="A190" s="166"/>
      <c r="B190" s="2" t="s">
        <v>2394</v>
      </c>
      <c r="C190" s="2">
        <v>56</v>
      </c>
      <c r="D190" s="2" t="s">
        <v>134</v>
      </c>
      <c r="E190" s="2">
        <v>4</v>
      </c>
      <c r="F190" s="2" t="s">
        <v>269</v>
      </c>
      <c r="G190" s="2">
        <v>2</v>
      </c>
      <c r="H190" s="2" t="s">
        <v>436</v>
      </c>
      <c r="I190" s="2">
        <v>2</v>
      </c>
      <c r="K190" s="169"/>
      <c r="L190" s="2" t="s">
        <v>2773</v>
      </c>
      <c r="M190" s="2">
        <v>58</v>
      </c>
      <c r="N190" s="1" t="s">
        <v>415</v>
      </c>
      <c r="O190" s="2">
        <v>2</v>
      </c>
      <c r="P190" s="2" t="s">
        <v>130</v>
      </c>
      <c r="Q190" s="2">
        <v>2</v>
      </c>
      <c r="R190" s="2" t="s">
        <v>441</v>
      </c>
      <c r="S190" s="2">
        <v>2</v>
      </c>
    </row>
    <row r="191" spans="1:19">
      <c r="A191" s="166"/>
      <c r="B191" s="2" t="s">
        <v>2395</v>
      </c>
      <c r="C191" s="2">
        <v>58</v>
      </c>
      <c r="D191" s="2" t="s">
        <v>134</v>
      </c>
      <c r="E191" s="2">
        <v>4</v>
      </c>
      <c r="F191" s="2" t="s">
        <v>269</v>
      </c>
      <c r="G191" s="2">
        <v>2</v>
      </c>
      <c r="H191" s="2" t="s">
        <v>437</v>
      </c>
      <c r="I191" s="2">
        <v>2</v>
      </c>
      <c r="K191" s="169"/>
      <c r="L191" s="2" t="s">
        <v>2775</v>
      </c>
      <c r="M191" s="2">
        <v>60</v>
      </c>
      <c r="N191" s="1" t="s">
        <v>414</v>
      </c>
      <c r="O191" s="2">
        <v>2</v>
      </c>
      <c r="P191" s="2" t="s">
        <v>130</v>
      </c>
      <c r="Q191" s="2">
        <v>2</v>
      </c>
      <c r="R191" s="2" t="s">
        <v>441</v>
      </c>
      <c r="S191" s="2">
        <v>2</v>
      </c>
    </row>
    <row r="192" spans="1:19">
      <c r="A192" s="166"/>
      <c r="B192" s="2" t="s">
        <v>2396</v>
      </c>
      <c r="C192" s="2">
        <v>60</v>
      </c>
      <c r="D192" s="2" t="s">
        <v>134</v>
      </c>
      <c r="E192" s="2">
        <v>4</v>
      </c>
      <c r="F192" s="2" t="s">
        <v>269</v>
      </c>
      <c r="G192" s="2">
        <v>2</v>
      </c>
      <c r="H192" s="2" t="s">
        <v>438</v>
      </c>
      <c r="I192" s="2">
        <v>2</v>
      </c>
      <c r="K192" s="169"/>
      <c r="L192" s="2" t="s">
        <v>2776</v>
      </c>
      <c r="M192" s="2">
        <v>62</v>
      </c>
      <c r="N192" s="1" t="s">
        <v>416</v>
      </c>
      <c r="O192" s="2">
        <v>2</v>
      </c>
      <c r="P192" s="2" t="s">
        <v>132</v>
      </c>
      <c r="Q192" s="2">
        <v>2</v>
      </c>
      <c r="R192" s="2" t="s">
        <v>441</v>
      </c>
      <c r="S192" s="2">
        <v>2</v>
      </c>
    </row>
    <row r="193" spans="1:19">
      <c r="A193" s="166"/>
      <c r="B193" s="2" t="s">
        <v>2397</v>
      </c>
      <c r="C193" s="2">
        <v>62</v>
      </c>
      <c r="D193" s="2" t="s">
        <v>134</v>
      </c>
      <c r="E193" s="2">
        <v>4</v>
      </c>
      <c r="F193" s="2" t="s">
        <v>269</v>
      </c>
      <c r="G193" s="2">
        <v>2</v>
      </c>
      <c r="H193" s="2" t="s">
        <v>439</v>
      </c>
      <c r="I193" s="2">
        <v>2</v>
      </c>
      <c r="K193" s="169"/>
      <c r="L193" s="2" t="s">
        <v>2777</v>
      </c>
      <c r="M193" s="2">
        <v>64</v>
      </c>
      <c r="N193" s="1" t="s">
        <v>417</v>
      </c>
      <c r="O193" s="2">
        <v>2</v>
      </c>
      <c r="P193" s="2" t="s">
        <v>132</v>
      </c>
      <c r="Q193" s="2">
        <v>2</v>
      </c>
      <c r="R193" s="2" t="s">
        <v>441</v>
      </c>
      <c r="S193" s="2">
        <v>2</v>
      </c>
    </row>
    <row r="194" spans="1:19">
      <c r="A194" s="166"/>
      <c r="B194" s="2" t="s">
        <v>2398</v>
      </c>
      <c r="C194" s="2">
        <v>64</v>
      </c>
      <c r="D194" s="2" t="s">
        <v>134</v>
      </c>
      <c r="E194" s="2">
        <v>4</v>
      </c>
      <c r="F194" s="2" t="s">
        <v>269</v>
      </c>
      <c r="G194" s="2">
        <v>2</v>
      </c>
      <c r="H194" s="2" t="s">
        <v>440</v>
      </c>
      <c r="I194" s="2">
        <v>2</v>
      </c>
      <c r="K194" s="169"/>
      <c r="L194" s="2" t="s">
        <v>2778</v>
      </c>
      <c r="M194" s="2">
        <v>66</v>
      </c>
      <c r="N194" s="1" t="s">
        <v>418</v>
      </c>
      <c r="O194" s="2">
        <v>2</v>
      </c>
      <c r="P194" s="2" t="s">
        <v>133</v>
      </c>
      <c r="Q194" s="2">
        <v>2</v>
      </c>
      <c r="R194" s="2" t="s">
        <v>441</v>
      </c>
      <c r="S194" s="2">
        <v>2</v>
      </c>
    </row>
    <row r="195" spans="1:19">
      <c r="A195" s="166"/>
      <c r="B195" s="2" t="s">
        <v>2399</v>
      </c>
      <c r="C195" s="2">
        <v>66</v>
      </c>
      <c r="D195" s="2" t="s">
        <v>134</v>
      </c>
      <c r="E195" s="2">
        <v>4</v>
      </c>
      <c r="F195" s="2" t="s">
        <v>269</v>
      </c>
      <c r="G195" s="2">
        <v>2</v>
      </c>
      <c r="H195" s="2" t="s">
        <v>441</v>
      </c>
      <c r="I195" s="2">
        <v>2</v>
      </c>
      <c r="K195" s="169"/>
      <c r="L195" s="2" t="s">
        <v>2779</v>
      </c>
      <c r="M195" s="2">
        <v>60</v>
      </c>
      <c r="N195" s="1" t="s">
        <v>419</v>
      </c>
      <c r="O195" s="2">
        <v>2</v>
      </c>
      <c r="P195" s="2" t="s">
        <v>133</v>
      </c>
      <c r="Q195" s="2">
        <v>2</v>
      </c>
      <c r="R195" s="2" t="s">
        <v>441</v>
      </c>
      <c r="S195" s="2">
        <v>2</v>
      </c>
    </row>
    <row r="196" spans="1:19">
      <c r="A196" s="166"/>
      <c r="B196" s="2" t="s">
        <v>2392</v>
      </c>
      <c r="C196" s="2">
        <v>70</v>
      </c>
      <c r="D196" s="2" t="s">
        <v>134</v>
      </c>
      <c r="E196" s="2">
        <v>4</v>
      </c>
      <c r="F196" s="2" t="s">
        <v>273</v>
      </c>
      <c r="G196" s="2">
        <v>2</v>
      </c>
      <c r="H196" s="2" t="s">
        <v>431</v>
      </c>
      <c r="I196" s="2">
        <v>2</v>
      </c>
      <c r="K196" s="169"/>
      <c r="L196" s="2" t="s">
        <v>2780</v>
      </c>
      <c r="M196" s="2">
        <v>70</v>
      </c>
      <c r="N196" s="1" t="s">
        <v>421</v>
      </c>
      <c r="O196" s="2">
        <v>2</v>
      </c>
      <c r="P196" s="2" t="s">
        <v>134</v>
      </c>
      <c r="Q196" s="2">
        <v>2</v>
      </c>
      <c r="R196" s="2" t="s">
        <v>441</v>
      </c>
      <c r="S196" s="2">
        <v>2</v>
      </c>
    </row>
    <row r="197" spans="1:19">
      <c r="A197" s="166"/>
      <c r="B197" s="2" t="s">
        <v>1901</v>
      </c>
      <c r="C197" s="2">
        <v>75</v>
      </c>
      <c r="D197" s="2" t="s">
        <v>135</v>
      </c>
      <c r="E197" s="2">
        <v>4</v>
      </c>
      <c r="F197" s="2" t="s">
        <v>273</v>
      </c>
      <c r="G197" s="2">
        <v>2</v>
      </c>
      <c r="H197" s="2" t="s">
        <v>425</v>
      </c>
      <c r="I197" s="2">
        <v>3</v>
      </c>
      <c r="K197" s="169"/>
      <c r="L197" s="2" t="s">
        <v>2781</v>
      </c>
      <c r="M197" s="2">
        <v>80</v>
      </c>
      <c r="N197" s="1" t="s">
        <v>405</v>
      </c>
      <c r="O197" s="2">
        <v>2</v>
      </c>
      <c r="P197" s="2" t="s">
        <v>134</v>
      </c>
      <c r="Q197" s="2">
        <v>2</v>
      </c>
      <c r="R197" s="2" t="s">
        <v>442</v>
      </c>
      <c r="S197" s="2">
        <v>2</v>
      </c>
    </row>
    <row r="198" spans="1:19">
      <c r="A198" s="166"/>
      <c r="B198" s="2" t="s">
        <v>2770</v>
      </c>
      <c r="C198" s="2">
        <v>80</v>
      </c>
      <c r="D198" s="2" t="s">
        <v>135</v>
      </c>
      <c r="E198" s="2">
        <v>4</v>
      </c>
      <c r="F198" s="2" t="s">
        <v>273</v>
      </c>
      <c r="G198" s="2">
        <v>2</v>
      </c>
      <c r="H198" s="2" t="s">
        <v>432</v>
      </c>
      <c r="I198" s="2">
        <v>2</v>
      </c>
      <c r="K198" s="169"/>
      <c r="L198" s="2" t="s">
        <v>2782</v>
      </c>
      <c r="M198" s="2">
        <v>90</v>
      </c>
      <c r="N198" s="1" t="s">
        <v>405</v>
      </c>
      <c r="O198" s="2">
        <v>2</v>
      </c>
      <c r="P198" s="2" t="s">
        <v>135</v>
      </c>
      <c r="Q198" s="2">
        <v>2</v>
      </c>
      <c r="R198" s="2" t="s">
        <v>443</v>
      </c>
      <c r="S198" s="2">
        <v>2</v>
      </c>
    </row>
    <row r="199" spans="1:19">
      <c r="A199" s="166"/>
      <c r="B199" s="2" t="s">
        <v>2772</v>
      </c>
      <c r="C199" s="2">
        <v>90</v>
      </c>
      <c r="D199" s="2" t="s">
        <v>136</v>
      </c>
      <c r="E199" s="2">
        <v>4</v>
      </c>
      <c r="F199" s="2" t="s">
        <v>274</v>
      </c>
      <c r="G199" s="2">
        <v>2</v>
      </c>
      <c r="H199" s="2" t="s">
        <v>433</v>
      </c>
      <c r="I199" s="2">
        <v>2</v>
      </c>
      <c r="K199" s="169"/>
      <c r="L199" s="2" t="s">
        <v>2783</v>
      </c>
      <c r="M199" s="2">
        <v>95</v>
      </c>
      <c r="N199" s="1" t="s">
        <v>423</v>
      </c>
      <c r="O199" s="2">
        <v>2</v>
      </c>
      <c r="P199" s="2" t="s">
        <v>135</v>
      </c>
      <c r="Q199" s="2">
        <v>2</v>
      </c>
      <c r="R199" s="2" t="s">
        <v>444</v>
      </c>
      <c r="S199" s="2">
        <v>2</v>
      </c>
    </row>
    <row r="200" spans="1:19">
      <c r="A200" s="166"/>
      <c r="B200" s="2" t="s">
        <v>2774</v>
      </c>
      <c r="C200" s="2">
        <v>95</v>
      </c>
      <c r="D200" s="2" t="s">
        <v>137</v>
      </c>
      <c r="E200" s="2">
        <v>4</v>
      </c>
      <c r="F200" s="2" t="s">
        <v>274</v>
      </c>
      <c r="G200" s="2">
        <v>2</v>
      </c>
      <c r="H200" s="2" t="s">
        <v>434</v>
      </c>
      <c r="I200" s="2">
        <v>2</v>
      </c>
      <c r="K200" s="169"/>
      <c r="L200" s="2" t="s">
        <v>2784</v>
      </c>
      <c r="M200" s="2">
        <v>100</v>
      </c>
      <c r="N200" s="1" t="s">
        <v>423</v>
      </c>
      <c r="O200" s="2">
        <v>2</v>
      </c>
      <c r="P200" s="2" t="s">
        <v>136</v>
      </c>
      <c r="Q200" s="2">
        <v>2</v>
      </c>
      <c r="R200" s="2" t="s">
        <v>445</v>
      </c>
      <c r="S200" s="2">
        <v>2</v>
      </c>
    </row>
    <row r="201" spans="1:19">
      <c r="A201" s="166"/>
      <c r="B201" s="2" t="s">
        <v>1902</v>
      </c>
      <c r="C201" s="2">
        <v>95</v>
      </c>
      <c r="D201" s="2" t="s">
        <v>1753</v>
      </c>
      <c r="E201" s="2">
        <v>4</v>
      </c>
      <c r="F201" s="2" t="s">
        <v>274</v>
      </c>
      <c r="G201" s="2">
        <v>2</v>
      </c>
      <c r="H201" s="2" t="s">
        <v>434</v>
      </c>
      <c r="I201" s="2">
        <v>2</v>
      </c>
      <c r="K201" s="169"/>
      <c r="L201" s="2" t="s">
        <v>2785</v>
      </c>
      <c r="M201" s="2">
        <v>110</v>
      </c>
      <c r="N201" s="1" t="s">
        <v>424</v>
      </c>
      <c r="O201" s="2">
        <v>2</v>
      </c>
      <c r="P201" s="2" t="s">
        <v>136</v>
      </c>
      <c r="Q201" s="2">
        <v>2</v>
      </c>
      <c r="R201" s="2" t="s">
        <v>446</v>
      </c>
      <c r="S201" s="2">
        <v>2</v>
      </c>
    </row>
    <row r="202" spans="1:19">
      <c r="A202" s="166"/>
      <c r="B202" s="2" t="s">
        <v>2508</v>
      </c>
      <c r="C202" s="2">
        <v>110</v>
      </c>
      <c r="D202" s="2" t="s">
        <v>1753</v>
      </c>
      <c r="E202" s="2">
        <v>4</v>
      </c>
      <c r="F202" s="2" t="s">
        <v>140</v>
      </c>
      <c r="G202" s="2">
        <v>2</v>
      </c>
      <c r="H202" s="2" t="s">
        <v>442</v>
      </c>
      <c r="I202" s="2">
        <v>2</v>
      </c>
      <c r="K202" s="169"/>
      <c r="L202" s="2" t="s">
        <v>2786</v>
      </c>
      <c r="M202" s="2">
        <v>120</v>
      </c>
      <c r="N202" s="1" t="s">
        <v>424</v>
      </c>
      <c r="O202" s="2">
        <v>2</v>
      </c>
      <c r="P202" s="2" t="s">
        <v>137</v>
      </c>
      <c r="Q202" s="2">
        <v>2</v>
      </c>
      <c r="R202" s="2" t="s">
        <v>447</v>
      </c>
      <c r="S202" s="2">
        <v>2</v>
      </c>
    </row>
    <row r="203" spans="1:19">
      <c r="A203" s="166"/>
      <c r="B203" s="2" t="s">
        <v>1903</v>
      </c>
      <c r="C203" s="2">
        <v>115</v>
      </c>
      <c r="D203" s="2" t="s">
        <v>1753</v>
      </c>
      <c r="E203" s="2">
        <v>4</v>
      </c>
      <c r="F203" s="2" t="s">
        <v>140</v>
      </c>
      <c r="G203" s="2">
        <v>2</v>
      </c>
      <c r="H203" s="2" t="s">
        <v>442</v>
      </c>
      <c r="I203" s="2">
        <v>3</v>
      </c>
      <c r="K203" s="169"/>
      <c r="L203" s="2" t="s">
        <v>2787</v>
      </c>
      <c r="M203" s="2">
        <v>130</v>
      </c>
      <c r="N203" s="2" t="s">
        <v>1790</v>
      </c>
      <c r="O203" s="2">
        <v>2</v>
      </c>
      <c r="P203" s="2" t="s">
        <v>137</v>
      </c>
      <c r="Q203" s="2">
        <v>2</v>
      </c>
      <c r="R203" s="2" t="s">
        <v>448</v>
      </c>
      <c r="S203" s="2">
        <v>2</v>
      </c>
    </row>
    <row r="204" spans="1:19">
      <c r="A204" s="166"/>
      <c r="B204" s="2" t="s">
        <v>2509</v>
      </c>
      <c r="C204" s="2">
        <v>120</v>
      </c>
      <c r="D204" s="2" t="s">
        <v>1754</v>
      </c>
      <c r="E204" s="2">
        <v>4</v>
      </c>
      <c r="F204" s="2" t="s">
        <v>140</v>
      </c>
      <c r="G204" s="2">
        <v>2</v>
      </c>
      <c r="H204" s="2" t="s">
        <v>443</v>
      </c>
      <c r="I204" s="2">
        <v>2</v>
      </c>
      <c r="K204" s="169"/>
      <c r="L204" s="2" t="s">
        <v>2788</v>
      </c>
      <c r="M204" s="2">
        <v>140</v>
      </c>
      <c r="N204" s="2" t="s">
        <v>1791</v>
      </c>
      <c r="O204" s="2">
        <v>2</v>
      </c>
      <c r="P204" s="2" t="s">
        <v>1753</v>
      </c>
      <c r="Q204" s="2">
        <v>2</v>
      </c>
      <c r="R204" s="2" t="s">
        <v>449</v>
      </c>
      <c r="S204" s="2">
        <v>2</v>
      </c>
    </row>
    <row r="205" spans="1:19">
      <c r="A205" s="166"/>
      <c r="B205" s="2" t="s">
        <v>2510</v>
      </c>
      <c r="C205" s="2">
        <v>130</v>
      </c>
      <c r="D205" s="2" t="s">
        <v>1755</v>
      </c>
      <c r="E205" s="2">
        <v>4</v>
      </c>
      <c r="F205" s="2" t="s">
        <v>140</v>
      </c>
      <c r="G205" s="2">
        <v>2</v>
      </c>
      <c r="H205" s="2" t="s">
        <v>444</v>
      </c>
      <c r="I205" s="2">
        <v>2</v>
      </c>
      <c r="K205" s="169"/>
      <c r="L205" s="2" t="s">
        <v>2789</v>
      </c>
      <c r="M205" s="2">
        <v>150</v>
      </c>
      <c r="N205" s="2" t="s">
        <v>2744</v>
      </c>
      <c r="O205" s="2">
        <v>2</v>
      </c>
      <c r="P205" s="2" t="s">
        <v>1754</v>
      </c>
      <c r="Q205" s="2">
        <v>2</v>
      </c>
      <c r="R205" s="2" t="s">
        <v>575</v>
      </c>
      <c r="S205" s="2">
        <v>2</v>
      </c>
    </row>
    <row r="206" spans="1:19">
      <c r="A206" s="166"/>
      <c r="B206" s="2" t="s">
        <v>1904</v>
      </c>
      <c r="C206" s="2">
        <v>135</v>
      </c>
      <c r="D206" s="2" t="s">
        <v>1755</v>
      </c>
      <c r="E206" s="2">
        <v>4</v>
      </c>
      <c r="F206" s="2" t="s">
        <v>1756</v>
      </c>
      <c r="G206" s="2">
        <v>3</v>
      </c>
      <c r="H206" s="2" t="s">
        <v>445</v>
      </c>
      <c r="I206" s="2">
        <v>2</v>
      </c>
      <c r="K206" s="169"/>
      <c r="L206" s="2" t="s">
        <v>2790</v>
      </c>
      <c r="M206" s="2">
        <v>160</v>
      </c>
      <c r="N206" s="8" t="s">
        <v>2791</v>
      </c>
      <c r="O206" s="2">
        <v>2</v>
      </c>
      <c r="P206" s="2" t="s">
        <v>1755</v>
      </c>
      <c r="Q206" s="2">
        <v>2</v>
      </c>
      <c r="R206" s="2" t="s">
        <v>576</v>
      </c>
      <c r="S206" s="2">
        <v>2</v>
      </c>
    </row>
    <row r="207" spans="1:19">
      <c r="A207" s="166"/>
      <c r="B207" s="2" t="s">
        <v>1905</v>
      </c>
      <c r="C207" s="2">
        <v>140</v>
      </c>
      <c r="D207" s="2" t="s">
        <v>1755</v>
      </c>
      <c r="E207" s="2">
        <v>4</v>
      </c>
      <c r="F207" s="2" t="s">
        <v>1756</v>
      </c>
      <c r="G207" s="2">
        <v>3</v>
      </c>
      <c r="H207" s="2" t="s">
        <v>446</v>
      </c>
      <c r="I207" s="2">
        <v>2</v>
      </c>
      <c r="K207" s="170"/>
      <c r="L207" s="2" t="s">
        <v>2792</v>
      </c>
      <c r="M207" s="2">
        <v>170</v>
      </c>
      <c r="N207" s="8" t="s">
        <v>2793</v>
      </c>
      <c r="O207" s="2">
        <v>2</v>
      </c>
      <c r="P207" s="4" t="s">
        <v>2794</v>
      </c>
      <c r="Q207" s="2">
        <v>2</v>
      </c>
      <c r="R207" s="2" t="s">
        <v>1066</v>
      </c>
      <c r="S207" s="2">
        <v>2</v>
      </c>
    </row>
    <row r="208" spans="1:19">
      <c r="A208" s="166"/>
      <c r="B208" s="2" t="s">
        <v>1906</v>
      </c>
      <c r="C208" s="2">
        <v>150</v>
      </c>
      <c r="D208" s="2" t="s">
        <v>1879</v>
      </c>
      <c r="E208" s="2">
        <v>4</v>
      </c>
      <c r="F208" s="2" t="s">
        <v>1756</v>
      </c>
      <c r="G208" s="2">
        <v>3</v>
      </c>
      <c r="H208" s="2" t="s">
        <v>447</v>
      </c>
      <c r="I208" s="2">
        <v>2</v>
      </c>
    </row>
    <row r="209" spans="1:9">
      <c r="A209" s="166"/>
      <c r="B209" s="2" t="s">
        <v>1907</v>
      </c>
      <c r="C209" s="2">
        <v>155</v>
      </c>
      <c r="D209" s="2" t="s">
        <v>1879</v>
      </c>
      <c r="E209" s="2">
        <v>4</v>
      </c>
      <c r="F209" s="2" t="s">
        <v>1756</v>
      </c>
      <c r="G209" s="2">
        <v>3</v>
      </c>
      <c r="H209" s="2" t="s">
        <v>448</v>
      </c>
      <c r="I209" s="2">
        <v>2</v>
      </c>
    </row>
    <row r="210" spans="1:9">
      <c r="A210" s="166"/>
      <c r="B210" s="2" t="s">
        <v>1908</v>
      </c>
      <c r="C210" s="2">
        <v>160</v>
      </c>
      <c r="D210" s="2" t="s">
        <v>1881</v>
      </c>
      <c r="E210" s="2">
        <v>4</v>
      </c>
      <c r="F210" s="2" t="s">
        <v>1756</v>
      </c>
      <c r="G210" s="2">
        <v>3</v>
      </c>
      <c r="H210" s="2" t="s">
        <v>449</v>
      </c>
      <c r="I210" s="2">
        <v>2</v>
      </c>
    </row>
    <row r="211" spans="1:9">
      <c r="A211" s="166"/>
      <c r="B211" s="2" t="s">
        <v>1909</v>
      </c>
      <c r="C211" s="2">
        <v>170</v>
      </c>
      <c r="D211" s="2" t="s">
        <v>1881</v>
      </c>
      <c r="E211" s="2">
        <v>4</v>
      </c>
      <c r="F211" s="2" t="s">
        <v>1756</v>
      </c>
      <c r="G211" s="2">
        <v>3</v>
      </c>
      <c r="H211" s="2" t="s">
        <v>575</v>
      </c>
      <c r="I211" s="2">
        <v>2</v>
      </c>
    </row>
  </sheetData>
  <mergeCells count="23">
    <mergeCell ref="A2:A34"/>
    <mergeCell ref="A75:A107"/>
    <mergeCell ref="A109:A145"/>
    <mergeCell ref="A36:A73"/>
    <mergeCell ref="A1:S1"/>
    <mergeCell ref="B19:I19"/>
    <mergeCell ref="B53:I53"/>
    <mergeCell ref="B92:I92"/>
    <mergeCell ref="K77:K113"/>
    <mergeCell ref="K2:K37"/>
    <mergeCell ref="L94:S94"/>
    <mergeCell ref="L18:S18"/>
    <mergeCell ref="L56:S56"/>
    <mergeCell ref="K39:K75"/>
    <mergeCell ref="L181:S181"/>
    <mergeCell ref="K181:K207"/>
    <mergeCell ref="A147:A180"/>
    <mergeCell ref="B126:I126"/>
    <mergeCell ref="B164:I164"/>
    <mergeCell ref="A182:A211"/>
    <mergeCell ref="K148:K179"/>
    <mergeCell ref="K115:K146"/>
    <mergeCell ref="B182:I182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70"/>
  <sheetViews>
    <sheetView workbookViewId="0">
      <selection activeCell="M13" sqref="M13"/>
    </sheetView>
  </sheetViews>
  <sheetFormatPr defaultRowHeight="18"/>
  <cols>
    <col min="1" max="1" width="11.125" style="39" customWidth="1"/>
    <col min="2" max="2" width="21.25" style="39" customWidth="1"/>
    <col min="3" max="3" width="16.375" style="39" customWidth="1"/>
    <col min="4" max="4" width="10.125" style="39" customWidth="1"/>
    <col min="5" max="5" width="26.25" style="42" customWidth="1"/>
    <col min="6" max="6" width="9.25" customWidth="1"/>
    <col min="7" max="11" width="9" hidden="1" customWidth="1"/>
    <col min="12" max="12" width="5.875" customWidth="1"/>
  </cols>
  <sheetData>
    <row r="1" spans="1:11" ht="33">
      <c r="A1" s="142" t="s">
        <v>4063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s="40" customFormat="1">
      <c r="A2" s="41" t="s">
        <v>6</v>
      </c>
      <c r="B2" s="41" t="s">
        <v>7</v>
      </c>
      <c r="C2" s="41" t="s">
        <v>8</v>
      </c>
      <c r="D2" s="41" t="s">
        <v>9</v>
      </c>
      <c r="E2" s="41" t="s">
        <v>10</v>
      </c>
    </row>
    <row r="3" spans="1:11" s="40" customFormat="1">
      <c r="A3" s="41" t="s">
        <v>4075</v>
      </c>
      <c r="B3" s="41" t="s">
        <v>4084</v>
      </c>
      <c r="C3" s="44" t="s">
        <v>4083</v>
      </c>
      <c r="D3" s="44" t="s">
        <v>4083</v>
      </c>
      <c r="E3" s="41" t="s">
        <v>11</v>
      </c>
    </row>
    <row r="4" spans="1:11" s="40" customFormat="1">
      <c r="A4" s="41" t="s">
        <v>4077</v>
      </c>
      <c r="B4" s="41" t="s">
        <v>4085</v>
      </c>
      <c r="C4" s="44" t="s">
        <v>4082</v>
      </c>
      <c r="D4" s="44" t="s">
        <v>4083</v>
      </c>
      <c r="E4" s="41" t="s">
        <v>4088</v>
      </c>
    </row>
    <row r="5" spans="1:11" s="40" customFormat="1" ht="15.75" customHeight="1">
      <c r="A5" s="41" t="s">
        <v>4078</v>
      </c>
      <c r="B5" s="41" t="s">
        <v>4084</v>
      </c>
      <c r="C5" s="44" t="s">
        <v>4082</v>
      </c>
      <c r="D5" s="44" t="s">
        <v>4083</v>
      </c>
      <c r="E5" s="41" t="s">
        <v>4089</v>
      </c>
    </row>
    <row r="6" spans="1:11" s="40" customFormat="1">
      <c r="A6" s="41" t="s">
        <v>4079</v>
      </c>
      <c r="B6" s="41" t="s">
        <v>4086</v>
      </c>
      <c r="C6" s="44" t="s">
        <v>4082</v>
      </c>
      <c r="D6" s="44" t="s">
        <v>4083</v>
      </c>
      <c r="E6" s="41" t="s">
        <v>4090</v>
      </c>
    </row>
    <row r="7" spans="1:11" s="40" customFormat="1" ht="15.75" customHeight="1">
      <c r="A7" s="41" t="s">
        <v>4080</v>
      </c>
      <c r="B7" s="41" t="s">
        <v>4084</v>
      </c>
      <c r="C7" s="44" t="s">
        <v>4082</v>
      </c>
      <c r="D7" s="44" t="s">
        <v>4083</v>
      </c>
      <c r="E7" s="41" t="s">
        <v>4091</v>
      </c>
    </row>
    <row r="8" spans="1:11" s="40" customFormat="1">
      <c r="A8" s="41" t="s">
        <v>4081</v>
      </c>
      <c r="B8" s="41" t="s">
        <v>4084</v>
      </c>
      <c r="C8" s="44" t="s">
        <v>4082</v>
      </c>
      <c r="D8" s="44" t="s">
        <v>4083</v>
      </c>
      <c r="E8" s="41" t="s">
        <v>4091</v>
      </c>
    </row>
    <row r="9" spans="1:11" s="40" customFormat="1" ht="15.75" customHeight="1">
      <c r="A9" s="171" t="s">
        <v>4092</v>
      </c>
      <c r="B9" s="171" t="s">
        <v>4093</v>
      </c>
      <c r="C9" s="171" t="s">
        <v>4094</v>
      </c>
      <c r="D9" s="171" t="s">
        <v>4095</v>
      </c>
      <c r="E9" s="171" t="s">
        <v>4096</v>
      </c>
    </row>
    <row r="10" spans="1:11" s="40" customFormat="1" ht="15.75">
      <c r="A10" s="171"/>
      <c r="B10" s="171"/>
      <c r="C10" s="171"/>
      <c r="D10" s="171"/>
      <c r="E10" s="171"/>
    </row>
    <row r="11" spans="1:11" s="40" customFormat="1" ht="15.75" customHeight="1">
      <c r="A11" s="171" t="s">
        <v>4097</v>
      </c>
      <c r="B11" s="171" t="s">
        <v>4098</v>
      </c>
      <c r="C11" s="171" t="s">
        <v>4094</v>
      </c>
      <c r="D11" s="171" t="s">
        <v>4095</v>
      </c>
      <c r="E11" s="171" t="s">
        <v>4099</v>
      </c>
    </row>
    <row r="12" spans="1:11" s="40" customFormat="1" ht="15.75">
      <c r="A12" s="171"/>
      <c r="B12" s="171"/>
      <c r="C12" s="171"/>
      <c r="D12" s="171"/>
      <c r="E12" s="171"/>
    </row>
    <row r="13" spans="1:11" s="40" customFormat="1" ht="15.75" customHeight="1">
      <c r="A13" s="171" t="s">
        <v>4100</v>
      </c>
      <c r="B13" s="171" t="s">
        <v>4093</v>
      </c>
      <c r="C13" s="171" t="s">
        <v>4094</v>
      </c>
      <c r="D13" s="171" t="s">
        <v>4095</v>
      </c>
      <c r="E13" s="171" t="s">
        <v>4096</v>
      </c>
    </row>
    <row r="14" spans="1:11" s="40" customFormat="1" ht="15.75">
      <c r="A14" s="171"/>
      <c r="B14" s="171"/>
      <c r="C14" s="171"/>
      <c r="D14" s="171"/>
      <c r="E14" s="171"/>
    </row>
    <row r="15" spans="1:11" s="40" customFormat="1" ht="15.75" customHeight="1">
      <c r="A15" s="171" t="s">
        <v>4101</v>
      </c>
      <c r="B15" s="171" t="s">
        <v>4102</v>
      </c>
      <c r="C15" s="171" t="s">
        <v>4103</v>
      </c>
      <c r="D15" s="171" t="s">
        <v>4095</v>
      </c>
      <c r="E15" s="171" t="s">
        <v>4099</v>
      </c>
    </row>
    <row r="16" spans="1:11" s="40" customFormat="1" ht="15.75">
      <c r="A16" s="171"/>
      <c r="B16" s="171"/>
      <c r="C16" s="171"/>
      <c r="D16" s="171"/>
      <c r="E16" s="171"/>
    </row>
    <row r="17" spans="1:5" s="40" customFormat="1" ht="15.75" customHeight="1">
      <c r="A17" s="171" t="s">
        <v>4104</v>
      </c>
      <c r="B17" s="171" t="s">
        <v>4105</v>
      </c>
      <c r="C17" s="171" t="s">
        <v>4106</v>
      </c>
      <c r="D17" s="171" t="s">
        <v>4095</v>
      </c>
      <c r="E17" s="171" t="s">
        <v>4107</v>
      </c>
    </row>
    <row r="18" spans="1:5" s="40" customFormat="1" ht="15.75">
      <c r="A18" s="171"/>
      <c r="B18" s="171"/>
      <c r="C18" s="171"/>
      <c r="D18" s="171"/>
      <c r="E18" s="171"/>
    </row>
    <row r="19" spans="1:5" s="40" customFormat="1" ht="15.75" customHeight="1">
      <c r="A19" s="171" t="s">
        <v>4108</v>
      </c>
      <c r="B19" s="171" t="s">
        <v>4109</v>
      </c>
      <c r="C19" s="171" t="s">
        <v>4110</v>
      </c>
      <c r="D19" s="171" t="s">
        <v>4111</v>
      </c>
      <c r="E19" s="171" t="s">
        <v>4112</v>
      </c>
    </row>
    <row r="20" spans="1:5" s="39" customFormat="1">
      <c r="A20" s="171"/>
      <c r="B20" s="171"/>
      <c r="C20" s="171"/>
      <c r="D20" s="171"/>
      <c r="E20" s="171"/>
    </row>
    <row r="21" spans="1:5" s="39" customFormat="1" ht="18" customHeight="1">
      <c r="A21" s="171" t="s">
        <v>1469</v>
      </c>
      <c r="B21" s="43" t="s">
        <v>4113</v>
      </c>
      <c r="C21" s="171" t="s">
        <v>4115</v>
      </c>
      <c r="D21" s="171" t="s">
        <v>4095</v>
      </c>
      <c r="E21" s="171" t="s">
        <v>4099</v>
      </c>
    </row>
    <row r="22" spans="1:5" s="39" customFormat="1">
      <c r="A22" s="171"/>
      <c r="B22" s="43" t="s">
        <v>4114</v>
      </c>
      <c r="C22" s="171"/>
      <c r="D22" s="171"/>
      <c r="E22" s="171"/>
    </row>
    <row r="23" spans="1:5">
      <c r="A23" s="171" t="s">
        <v>1531</v>
      </c>
      <c r="B23" s="43" t="s">
        <v>4116</v>
      </c>
      <c r="C23" s="171" t="s">
        <v>4118</v>
      </c>
      <c r="D23" s="171" t="s">
        <v>4111</v>
      </c>
      <c r="E23" s="171" t="s">
        <v>4112</v>
      </c>
    </row>
    <row r="24" spans="1:5">
      <c r="A24" s="171"/>
      <c r="B24" s="43" t="s">
        <v>4117</v>
      </c>
      <c r="C24" s="171"/>
      <c r="D24" s="171"/>
      <c r="E24" s="171"/>
    </row>
    <row r="25" spans="1:5" ht="14.25">
      <c r="A25" s="171" t="s">
        <v>2963</v>
      </c>
      <c r="B25" s="171" t="s">
        <v>4119</v>
      </c>
      <c r="C25" s="171" t="s">
        <v>4120</v>
      </c>
      <c r="D25" s="171" t="s">
        <v>4095</v>
      </c>
      <c r="E25" s="171" t="s">
        <v>4107</v>
      </c>
    </row>
    <row r="26" spans="1:5" ht="14.25">
      <c r="A26" s="171"/>
      <c r="B26" s="171"/>
      <c r="C26" s="171"/>
      <c r="D26" s="171"/>
      <c r="E26" s="171"/>
    </row>
    <row r="27" spans="1:5" ht="14.25">
      <c r="A27" s="171" t="s">
        <v>4121</v>
      </c>
      <c r="B27" s="171" t="s">
        <v>4122</v>
      </c>
      <c r="C27" s="171" t="s">
        <v>4094</v>
      </c>
      <c r="D27" s="171" t="s">
        <v>4095</v>
      </c>
      <c r="E27" s="171" t="s">
        <v>4099</v>
      </c>
    </row>
    <row r="28" spans="1:5" ht="14.25">
      <c r="A28" s="171"/>
      <c r="B28" s="171"/>
      <c r="C28" s="171"/>
      <c r="D28" s="171"/>
      <c r="E28" s="171"/>
    </row>
    <row r="29" spans="1:5" ht="14.25">
      <c r="A29" s="171" t="s">
        <v>4123</v>
      </c>
      <c r="B29" s="171" t="s">
        <v>4124</v>
      </c>
      <c r="C29" s="171" t="s">
        <v>4115</v>
      </c>
      <c r="D29" s="171" t="s">
        <v>4125</v>
      </c>
      <c r="E29" s="171" t="s">
        <v>4087</v>
      </c>
    </row>
    <row r="30" spans="1:5" ht="14.25">
      <c r="A30" s="171"/>
      <c r="B30" s="171"/>
      <c r="C30" s="171"/>
      <c r="D30" s="171"/>
      <c r="E30" s="171"/>
    </row>
    <row r="31" spans="1:5" ht="14.25">
      <c r="A31" s="171" t="s">
        <v>1378</v>
      </c>
      <c r="B31" s="171" t="s">
        <v>4122</v>
      </c>
      <c r="C31" s="171" t="s">
        <v>4094</v>
      </c>
      <c r="D31" s="171" t="s">
        <v>4095</v>
      </c>
      <c r="E31" s="171" t="s">
        <v>4099</v>
      </c>
    </row>
    <row r="32" spans="1:5" ht="14.25">
      <c r="A32" s="171"/>
      <c r="B32" s="171"/>
      <c r="C32" s="171"/>
      <c r="D32" s="171"/>
      <c r="E32" s="171"/>
    </row>
    <row r="33" spans="1:5" ht="14.25">
      <c r="A33" s="171" t="s">
        <v>1407</v>
      </c>
      <c r="B33" s="171" t="s">
        <v>4126</v>
      </c>
      <c r="C33" s="171" t="s">
        <v>4127</v>
      </c>
      <c r="D33" s="171" t="s">
        <v>4111</v>
      </c>
      <c r="E33" s="171" t="s">
        <v>4112</v>
      </c>
    </row>
    <row r="34" spans="1:5" ht="14.25">
      <c r="A34" s="171"/>
      <c r="B34" s="171"/>
      <c r="C34" s="171"/>
      <c r="D34" s="171"/>
      <c r="E34" s="171"/>
    </row>
    <row r="35" spans="1:5" ht="14.25">
      <c r="A35" s="171" t="s">
        <v>1440</v>
      </c>
      <c r="B35" s="171" t="s">
        <v>4126</v>
      </c>
      <c r="C35" s="171" t="s">
        <v>4128</v>
      </c>
      <c r="D35" s="171" t="s">
        <v>4111</v>
      </c>
      <c r="E35" s="171" t="s">
        <v>4129</v>
      </c>
    </row>
    <row r="36" spans="1:5" ht="14.25">
      <c r="A36" s="171"/>
      <c r="B36" s="171"/>
      <c r="C36" s="171"/>
      <c r="D36" s="171"/>
      <c r="E36" s="171"/>
    </row>
    <row r="37" spans="1:5" ht="14.25">
      <c r="A37" s="171" t="s">
        <v>1502</v>
      </c>
      <c r="B37" s="171" t="s">
        <v>4119</v>
      </c>
      <c r="C37" s="171" t="s">
        <v>4094</v>
      </c>
      <c r="D37" s="171" t="s">
        <v>4095</v>
      </c>
      <c r="E37" s="171" t="s">
        <v>4107</v>
      </c>
    </row>
    <row r="38" spans="1:5" ht="15.75" customHeight="1">
      <c r="A38" s="171"/>
      <c r="B38" s="171"/>
      <c r="C38" s="171"/>
      <c r="D38" s="171"/>
      <c r="E38" s="171"/>
    </row>
    <row r="39" spans="1:5" ht="18.75" customHeight="1">
      <c r="A39" s="43" t="s">
        <v>1059</v>
      </c>
      <c r="B39" s="43" t="s">
        <v>1063</v>
      </c>
      <c r="C39" s="43" t="s">
        <v>1060</v>
      </c>
      <c r="D39" s="43" t="s">
        <v>1056</v>
      </c>
      <c r="E39" s="43" t="s">
        <v>1063</v>
      </c>
    </row>
    <row r="40" spans="1:5" ht="17.25" customHeight="1">
      <c r="A40" s="43" t="s">
        <v>1061</v>
      </c>
      <c r="B40" s="43" t="s">
        <v>1057</v>
      </c>
      <c r="C40" s="43"/>
      <c r="D40" s="43" t="s">
        <v>1058</v>
      </c>
      <c r="E40" s="43" t="s">
        <v>1062</v>
      </c>
    </row>
    <row r="41" spans="1:5" ht="14.25">
      <c r="A41" s="171" t="s">
        <v>4130</v>
      </c>
      <c r="B41" s="171" t="s">
        <v>4131</v>
      </c>
      <c r="C41" s="171" t="s">
        <v>4132</v>
      </c>
      <c r="D41" s="171" t="s">
        <v>4133</v>
      </c>
      <c r="E41" s="171" t="s">
        <v>4134</v>
      </c>
    </row>
    <row r="42" spans="1:5" ht="14.25">
      <c r="A42" s="171"/>
      <c r="B42" s="171"/>
      <c r="C42" s="171"/>
      <c r="D42" s="171"/>
      <c r="E42" s="171"/>
    </row>
    <row r="43" spans="1:5" ht="14.25">
      <c r="A43" s="171" t="s">
        <v>4065</v>
      </c>
      <c r="B43" s="171" t="s">
        <v>4131</v>
      </c>
      <c r="C43" s="171" t="s">
        <v>4135</v>
      </c>
      <c r="D43" s="171" t="s">
        <v>4136</v>
      </c>
      <c r="E43" s="171" t="s">
        <v>4134</v>
      </c>
    </row>
    <row r="44" spans="1:5" ht="14.25">
      <c r="A44" s="171"/>
      <c r="B44" s="171"/>
      <c r="C44" s="171"/>
      <c r="D44" s="171"/>
      <c r="E44" s="171"/>
    </row>
    <row r="45" spans="1:5">
      <c r="A45" s="171" t="s">
        <v>4069</v>
      </c>
      <c r="B45" s="43" t="s">
        <v>4137</v>
      </c>
      <c r="C45" s="171" t="s">
        <v>4140</v>
      </c>
      <c r="D45" s="171" t="s">
        <v>4141</v>
      </c>
      <c r="E45" s="171" t="s">
        <v>4142</v>
      </c>
    </row>
    <row r="46" spans="1:5">
      <c r="A46" s="171"/>
      <c r="B46" s="43" t="s">
        <v>4138</v>
      </c>
      <c r="C46" s="171"/>
      <c r="D46" s="171"/>
      <c r="E46" s="171"/>
    </row>
    <row r="47" spans="1:5">
      <c r="A47" s="171"/>
      <c r="B47" s="43" t="s">
        <v>4139</v>
      </c>
      <c r="C47" s="171"/>
      <c r="D47" s="171"/>
      <c r="E47" s="171"/>
    </row>
    <row r="48" spans="1:5">
      <c r="A48" s="171" t="s">
        <v>4071</v>
      </c>
      <c r="B48" s="43" t="s">
        <v>4143</v>
      </c>
      <c r="C48" s="171" t="s">
        <v>4146</v>
      </c>
      <c r="D48" s="171" t="s">
        <v>4147</v>
      </c>
      <c r="E48" s="171" t="s">
        <v>4148</v>
      </c>
    </row>
    <row r="49" spans="1:5">
      <c r="A49" s="171"/>
      <c r="B49" s="43" t="s">
        <v>4144</v>
      </c>
      <c r="C49" s="171"/>
      <c r="D49" s="171"/>
      <c r="E49" s="171"/>
    </row>
    <row r="50" spans="1:5">
      <c r="A50" s="171"/>
      <c r="B50" s="43" t="s">
        <v>4145</v>
      </c>
      <c r="C50" s="171"/>
      <c r="D50" s="171"/>
      <c r="E50" s="171"/>
    </row>
    <row r="51" spans="1:5">
      <c r="A51" s="171" t="s">
        <v>4067</v>
      </c>
      <c r="B51" s="43" t="s">
        <v>4149</v>
      </c>
      <c r="C51" s="171" t="s">
        <v>4152</v>
      </c>
      <c r="D51" s="171" t="s">
        <v>4153</v>
      </c>
      <c r="E51" s="171" t="s">
        <v>4154</v>
      </c>
    </row>
    <row r="52" spans="1:5">
      <c r="A52" s="171"/>
      <c r="B52" s="43" t="s">
        <v>4150</v>
      </c>
      <c r="C52" s="171"/>
      <c r="D52" s="171"/>
      <c r="E52" s="171"/>
    </row>
    <row r="53" spans="1:5">
      <c r="A53" s="171"/>
      <c r="B53" s="43" t="s">
        <v>4151</v>
      </c>
      <c r="C53" s="171"/>
      <c r="D53" s="171"/>
      <c r="E53" s="171"/>
    </row>
    <row r="54" spans="1:5">
      <c r="A54" s="171" t="s">
        <v>4064</v>
      </c>
      <c r="B54" s="43" t="s">
        <v>4155</v>
      </c>
      <c r="C54" s="171" t="s">
        <v>1</v>
      </c>
      <c r="D54" s="171" t="s">
        <v>4095</v>
      </c>
      <c r="E54" s="171" t="s">
        <v>4099</v>
      </c>
    </row>
    <row r="55" spans="1:5">
      <c r="A55" s="171"/>
      <c r="B55" s="43" t="s">
        <v>4156</v>
      </c>
      <c r="C55" s="171"/>
      <c r="D55" s="171"/>
      <c r="E55" s="171"/>
    </row>
    <row r="56" spans="1:5">
      <c r="A56" s="171"/>
      <c r="B56" s="43" t="s">
        <v>0</v>
      </c>
      <c r="C56" s="171"/>
      <c r="D56" s="171"/>
      <c r="E56" s="171"/>
    </row>
    <row r="57" spans="1:5">
      <c r="A57" s="171" t="s">
        <v>4073</v>
      </c>
      <c r="B57" s="43" t="s">
        <v>2</v>
      </c>
      <c r="C57" s="171" t="s">
        <v>5</v>
      </c>
      <c r="D57" s="171" t="s">
        <v>4111</v>
      </c>
      <c r="E57" s="171" t="s">
        <v>4129</v>
      </c>
    </row>
    <row r="58" spans="1:5">
      <c r="A58" s="171"/>
      <c r="B58" s="43" t="s">
        <v>3</v>
      </c>
      <c r="C58" s="171"/>
      <c r="D58" s="171"/>
      <c r="E58" s="171"/>
    </row>
    <row r="59" spans="1:5">
      <c r="A59" s="171"/>
      <c r="B59" s="43" t="s">
        <v>4</v>
      </c>
      <c r="C59" s="171"/>
      <c r="D59" s="171"/>
      <c r="E59" s="171"/>
    </row>
    <row r="60" spans="1:5">
      <c r="A60" s="171" t="s">
        <v>554</v>
      </c>
      <c r="B60" s="171"/>
      <c r="C60" s="171"/>
      <c r="D60" s="58"/>
      <c r="E60" s="58"/>
    </row>
    <row r="61" spans="1:5" s="57" customFormat="1">
      <c r="A61" s="59" t="s">
        <v>526</v>
      </c>
      <c r="B61" s="59" t="s">
        <v>555</v>
      </c>
      <c r="C61" s="59" t="s">
        <v>556</v>
      </c>
      <c r="D61" s="39"/>
      <c r="E61" s="42"/>
    </row>
    <row r="62" spans="1:5">
      <c r="A62" s="60" t="s">
        <v>527</v>
      </c>
      <c r="B62" s="60" t="s">
        <v>528</v>
      </c>
      <c r="C62" s="60" t="s">
        <v>529</v>
      </c>
    </row>
    <row r="63" spans="1:5">
      <c r="A63" s="60" t="s">
        <v>530</v>
      </c>
      <c r="B63" s="60" t="s">
        <v>548</v>
      </c>
      <c r="C63" s="60" t="s">
        <v>531</v>
      </c>
    </row>
    <row r="64" spans="1:5">
      <c r="A64" s="60" t="s">
        <v>532</v>
      </c>
      <c r="B64" s="60" t="s">
        <v>549</v>
      </c>
      <c r="C64" s="60" t="s">
        <v>533</v>
      </c>
    </row>
    <row r="65" spans="1:3">
      <c r="A65" s="60" t="s">
        <v>534</v>
      </c>
      <c r="B65" s="60" t="s">
        <v>535</v>
      </c>
      <c r="C65" s="60" t="s">
        <v>536</v>
      </c>
    </row>
    <row r="66" spans="1:3">
      <c r="A66" s="60" t="s">
        <v>537</v>
      </c>
      <c r="B66" s="60" t="s">
        <v>550</v>
      </c>
      <c r="C66" s="60" t="s">
        <v>538</v>
      </c>
    </row>
    <row r="67" spans="1:3">
      <c r="A67" s="60" t="s">
        <v>539</v>
      </c>
      <c r="B67" s="60" t="s">
        <v>551</v>
      </c>
      <c r="C67" s="60" t="s">
        <v>540</v>
      </c>
    </row>
    <row r="68" spans="1:3">
      <c r="A68" s="60" t="s">
        <v>541</v>
      </c>
      <c r="B68" s="60" t="s">
        <v>552</v>
      </c>
      <c r="C68" s="60" t="s">
        <v>542</v>
      </c>
    </row>
    <row r="69" spans="1:3">
      <c r="A69" s="60" t="s">
        <v>543</v>
      </c>
      <c r="B69" s="60" t="s">
        <v>553</v>
      </c>
      <c r="C69" s="60" t="s">
        <v>544</v>
      </c>
    </row>
    <row r="70" spans="1:3">
      <c r="A70" s="60" t="s">
        <v>545</v>
      </c>
      <c r="B70" s="60" t="s">
        <v>546</v>
      </c>
      <c r="C70" s="60" t="s">
        <v>547</v>
      </c>
    </row>
  </sheetData>
  <mergeCells count="105">
    <mergeCell ref="A60:C60"/>
    <mergeCell ref="E9:E10"/>
    <mergeCell ref="A1:K1"/>
    <mergeCell ref="A9:A10"/>
    <mergeCell ref="B9:B10"/>
    <mergeCell ref="C9:C10"/>
    <mergeCell ref="D9:D10"/>
    <mergeCell ref="D11:D12"/>
    <mergeCell ref="E11:E12"/>
    <mergeCell ref="A11:A12"/>
    <mergeCell ref="B11:B12"/>
    <mergeCell ref="C11:C12"/>
    <mergeCell ref="D15:D16"/>
    <mergeCell ref="B13:B14"/>
    <mergeCell ref="C13:C14"/>
    <mergeCell ref="D13:D14"/>
    <mergeCell ref="A13:A14"/>
    <mergeCell ref="E13:E14"/>
    <mergeCell ref="E15:E16"/>
    <mergeCell ref="A17:A18"/>
    <mergeCell ref="B17:B18"/>
    <mergeCell ref="C17:C18"/>
    <mergeCell ref="D17:D18"/>
    <mergeCell ref="E17:E18"/>
    <mergeCell ref="A15:A16"/>
    <mergeCell ref="B15:B16"/>
    <mergeCell ref="C15:C16"/>
    <mergeCell ref="D19:D20"/>
    <mergeCell ref="E19:E20"/>
    <mergeCell ref="A21:A22"/>
    <mergeCell ref="C21:C22"/>
    <mergeCell ref="D21:D22"/>
    <mergeCell ref="E21:E22"/>
    <mergeCell ref="A19:A20"/>
    <mergeCell ref="B19:B20"/>
    <mergeCell ref="C19:C20"/>
    <mergeCell ref="E23:E24"/>
    <mergeCell ref="A25:A26"/>
    <mergeCell ref="B25:B26"/>
    <mergeCell ref="C25:C26"/>
    <mergeCell ref="D25:D26"/>
    <mergeCell ref="E25:E26"/>
    <mergeCell ref="A23:A24"/>
    <mergeCell ref="C23:C24"/>
    <mergeCell ref="D23:D24"/>
    <mergeCell ref="D27:D28"/>
    <mergeCell ref="E27:E28"/>
    <mergeCell ref="A29:A30"/>
    <mergeCell ref="B29:B30"/>
    <mergeCell ref="C29:C30"/>
    <mergeCell ref="D29:D30"/>
    <mergeCell ref="E29:E30"/>
    <mergeCell ref="A27:A28"/>
    <mergeCell ref="B27:B28"/>
    <mergeCell ref="C27:C28"/>
    <mergeCell ref="D31:D32"/>
    <mergeCell ref="E31:E32"/>
    <mergeCell ref="A33:A34"/>
    <mergeCell ref="B33:B34"/>
    <mergeCell ref="C33:C34"/>
    <mergeCell ref="D33:D34"/>
    <mergeCell ref="E33:E34"/>
    <mergeCell ref="A31:A32"/>
    <mergeCell ref="B31:B32"/>
    <mergeCell ref="C31:C32"/>
    <mergeCell ref="D35:D36"/>
    <mergeCell ref="E35:E36"/>
    <mergeCell ref="A37:A38"/>
    <mergeCell ref="B37:B38"/>
    <mergeCell ref="C37:C38"/>
    <mergeCell ref="D37:D38"/>
    <mergeCell ref="E37:E38"/>
    <mergeCell ref="A35:A36"/>
    <mergeCell ref="B35:B36"/>
    <mergeCell ref="C35:C36"/>
    <mergeCell ref="E45:E47"/>
    <mergeCell ref="A48:A50"/>
    <mergeCell ref="C48:C50"/>
    <mergeCell ref="D48:D50"/>
    <mergeCell ref="E48:E50"/>
    <mergeCell ref="A45:A47"/>
    <mergeCell ref="C45:C47"/>
    <mergeCell ref="D45:D47"/>
    <mergeCell ref="D41:D42"/>
    <mergeCell ref="E41:E42"/>
    <mergeCell ref="A43:A44"/>
    <mergeCell ref="B43:B44"/>
    <mergeCell ref="C43:C44"/>
    <mergeCell ref="D43:D44"/>
    <mergeCell ref="E43:E44"/>
    <mergeCell ref="A41:A42"/>
    <mergeCell ref="B41:B42"/>
    <mergeCell ref="C41:C42"/>
    <mergeCell ref="E57:E59"/>
    <mergeCell ref="A57:A59"/>
    <mergeCell ref="C57:C59"/>
    <mergeCell ref="D57:D59"/>
    <mergeCell ref="E51:E53"/>
    <mergeCell ref="A54:A56"/>
    <mergeCell ref="C54:C56"/>
    <mergeCell ref="D54:D56"/>
    <mergeCell ref="E54:E56"/>
    <mergeCell ref="A51:A53"/>
    <mergeCell ref="C51:C53"/>
    <mergeCell ref="D51:D53"/>
  </mergeCells>
  <phoneticPr fontId="2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389"/>
  <sheetViews>
    <sheetView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B129" sqref="B129"/>
    </sheetView>
  </sheetViews>
  <sheetFormatPr defaultRowHeight="14.25"/>
  <cols>
    <col min="1" max="1" width="4.625" style="30" customWidth="1"/>
    <col min="2" max="2" width="11.375" style="28" bestFit="1" customWidth="1"/>
    <col min="3" max="4" width="5.5" style="28" bestFit="1" customWidth="1"/>
    <col min="5" max="5" width="13.125" style="28" customWidth="1"/>
    <col min="6" max="6" width="5.5" style="28" bestFit="1" customWidth="1"/>
    <col min="7" max="7" width="13.125" style="28" customWidth="1"/>
    <col min="8" max="8" width="5.5" style="28" bestFit="1" customWidth="1"/>
    <col min="9" max="9" width="13.125" style="28" customWidth="1"/>
    <col min="10" max="10" width="5.5" style="28" bestFit="1" customWidth="1"/>
    <col min="11" max="11" width="13.125" style="28" customWidth="1"/>
    <col min="12" max="12" width="5.5" style="28" bestFit="1" customWidth="1"/>
    <col min="13" max="13" width="3.5" style="28" bestFit="1" customWidth="1"/>
    <col min="14" max="16384" width="9" style="28"/>
  </cols>
  <sheetData>
    <row r="1" spans="1:12" ht="33">
      <c r="A1" s="173" t="s">
        <v>592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28.5">
      <c r="A2" s="5" t="s">
        <v>1870</v>
      </c>
      <c r="B2" s="5" t="s">
        <v>1545</v>
      </c>
      <c r="C2" s="5" t="s">
        <v>1546</v>
      </c>
      <c r="D2" s="5" t="s">
        <v>1547</v>
      </c>
      <c r="E2" s="5" t="s">
        <v>1548</v>
      </c>
      <c r="F2" s="5" t="s">
        <v>1549</v>
      </c>
      <c r="G2" s="5" t="s">
        <v>1548</v>
      </c>
      <c r="H2" s="5" t="s">
        <v>1549</v>
      </c>
      <c r="I2" s="5" t="s">
        <v>1548</v>
      </c>
      <c r="J2" s="5" t="s">
        <v>1549</v>
      </c>
      <c r="K2" s="5" t="s">
        <v>1548</v>
      </c>
      <c r="L2" s="5" t="s">
        <v>1549</v>
      </c>
    </row>
    <row r="3" spans="1:12">
      <c r="A3" s="172" t="s">
        <v>1108</v>
      </c>
      <c r="B3" s="1" t="s">
        <v>1085</v>
      </c>
      <c r="C3" s="1">
        <v>32</v>
      </c>
      <c r="D3" s="1">
        <v>1</v>
      </c>
      <c r="E3" s="1" t="s">
        <v>1575</v>
      </c>
      <c r="F3" s="1">
        <v>3</v>
      </c>
      <c r="G3" s="1" t="s">
        <v>1580</v>
      </c>
      <c r="H3" s="1">
        <v>3</v>
      </c>
      <c r="I3" s="1" t="s">
        <v>1550</v>
      </c>
      <c r="J3" s="1">
        <v>3</v>
      </c>
      <c r="K3" s="1" t="s">
        <v>1771</v>
      </c>
      <c r="L3" s="1" t="s">
        <v>1771</v>
      </c>
    </row>
    <row r="4" spans="1:12">
      <c r="A4" s="172"/>
      <c r="B4" s="1" t="s">
        <v>1086</v>
      </c>
      <c r="C4" s="1">
        <v>38</v>
      </c>
      <c r="D4" s="1">
        <v>1</v>
      </c>
      <c r="E4" s="1" t="s">
        <v>1575</v>
      </c>
      <c r="F4" s="1">
        <v>3</v>
      </c>
      <c r="G4" s="1" t="s">
        <v>1580</v>
      </c>
      <c r="H4" s="1">
        <v>3</v>
      </c>
      <c r="I4" s="1" t="s">
        <v>1550</v>
      </c>
      <c r="J4" s="1">
        <v>3</v>
      </c>
      <c r="K4" s="1" t="s">
        <v>1771</v>
      </c>
      <c r="L4" s="1" t="s">
        <v>1771</v>
      </c>
    </row>
    <row r="5" spans="1:12">
      <c r="A5" s="172"/>
      <c r="B5" s="1" t="s">
        <v>1087</v>
      </c>
      <c r="C5" s="1">
        <v>44</v>
      </c>
      <c r="D5" s="1">
        <v>1</v>
      </c>
      <c r="E5" s="1" t="s">
        <v>1575</v>
      </c>
      <c r="F5" s="1">
        <v>4</v>
      </c>
      <c r="G5" s="1" t="s">
        <v>1580</v>
      </c>
      <c r="H5" s="1">
        <v>4</v>
      </c>
      <c r="I5" s="1" t="s">
        <v>1550</v>
      </c>
      <c r="J5" s="1">
        <v>4</v>
      </c>
      <c r="K5" s="1" t="s">
        <v>1771</v>
      </c>
      <c r="L5" s="1" t="s">
        <v>1771</v>
      </c>
    </row>
    <row r="6" spans="1:12">
      <c r="A6" s="172"/>
      <c r="B6" s="1" t="s">
        <v>1088</v>
      </c>
      <c r="C6" s="1">
        <v>50</v>
      </c>
      <c r="D6" s="1">
        <v>1</v>
      </c>
      <c r="E6" s="1" t="s">
        <v>1575</v>
      </c>
      <c r="F6" s="1">
        <v>5</v>
      </c>
      <c r="G6" s="1" t="s">
        <v>1580</v>
      </c>
      <c r="H6" s="1">
        <v>5</v>
      </c>
      <c r="I6" s="1" t="s">
        <v>1550</v>
      </c>
      <c r="J6" s="1">
        <v>5</v>
      </c>
      <c r="K6" s="1" t="s">
        <v>1771</v>
      </c>
      <c r="L6" s="1" t="s">
        <v>1771</v>
      </c>
    </row>
    <row r="7" spans="1:12">
      <c r="A7" s="172"/>
      <c r="B7" s="1" t="s">
        <v>1089</v>
      </c>
      <c r="C7" s="1">
        <v>56</v>
      </c>
      <c r="D7" s="1">
        <v>1</v>
      </c>
      <c r="E7" s="1" t="s">
        <v>1575</v>
      </c>
      <c r="F7" s="1">
        <v>5</v>
      </c>
      <c r="G7" s="1" t="s">
        <v>1580</v>
      </c>
      <c r="H7" s="1">
        <v>5</v>
      </c>
      <c r="I7" s="1" t="s">
        <v>1550</v>
      </c>
      <c r="J7" s="1">
        <v>5</v>
      </c>
      <c r="K7" s="1" t="s">
        <v>1771</v>
      </c>
      <c r="L7" s="1" t="s">
        <v>1771</v>
      </c>
    </row>
    <row r="8" spans="1:12">
      <c r="A8" s="172"/>
      <c r="B8" s="1" t="s">
        <v>1090</v>
      </c>
      <c r="C8" s="1">
        <v>60</v>
      </c>
      <c r="D8" s="1">
        <v>2</v>
      </c>
      <c r="E8" s="1" t="s">
        <v>2444</v>
      </c>
      <c r="F8" s="1">
        <v>15</v>
      </c>
      <c r="G8" s="1" t="s">
        <v>2445</v>
      </c>
      <c r="H8" s="1">
        <v>6</v>
      </c>
      <c r="I8" s="1" t="s">
        <v>1581</v>
      </c>
      <c r="J8" s="1">
        <v>6</v>
      </c>
      <c r="K8" s="1" t="s">
        <v>1550</v>
      </c>
      <c r="L8" s="1">
        <v>3</v>
      </c>
    </row>
    <row r="9" spans="1:12">
      <c r="A9" s="172"/>
      <c r="B9" s="1" t="s">
        <v>1091</v>
      </c>
      <c r="C9" s="1">
        <v>66</v>
      </c>
      <c r="D9" s="1">
        <v>2</v>
      </c>
      <c r="E9" s="1" t="s">
        <v>2444</v>
      </c>
      <c r="F9" s="1">
        <v>15</v>
      </c>
      <c r="G9" s="1" t="s">
        <v>2445</v>
      </c>
      <c r="H9" s="1">
        <v>6</v>
      </c>
      <c r="I9" s="1" t="s">
        <v>1581</v>
      </c>
      <c r="J9" s="1">
        <v>6</v>
      </c>
      <c r="K9" s="1" t="s">
        <v>1550</v>
      </c>
      <c r="L9" s="1">
        <v>3</v>
      </c>
    </row>
    <row r="10" spans="1:12">
      <c r="A10" s="172"/>
      <c r="B10" s="1" t="s">
        <v>1092</v>
      </c>
      <c r="C10" s="1">
        <v>70</v>
      </c>
      <c r="D10" s="1">
        <v>2</v>
      </c>
      <c r="E10" s="1" t="s">
        <v>2444</v>
      </c>
      <c r="F10" s="1">
        <v>20</v>
      </c>
      <c r="G10" s="1" t="s">
        <v>2445</v>
      </c>
      <c r="H10" s="1">
        <v>7</v>
      </c>
      <c r="I10" s="1" t="s">
        <v>1581</v>
      </c>
      <c r="J10" s="1">
        <v>7</v>
      </c>
      <c r="K10" s="1" t="s">
        <v>1550</v>
      </c>
      <c r="L10" s="1">
        <v>4</v>
      </c>
    </row>
    <row r="11" spans="1:12">
      <c r="A11" s="172"/>
      <c r="B11" s="1" t="s">
        <v>1093</v>
      </c>
      <c r="C11" s="1">
        <v>74</v>
      </c>
      <c r="D11" s="1">
        <v>2</v>
      </c>
      <c r="E11" s="1" t="s">
        <v>2444</v>
      </c>
      <c r="F11" s="1">
        <v>20</v>
      </c>
      <c r="G11" s="1" t="s">
        <v>2445</v>
      </c>
      <c r="H11" s="1">
        <v>7</v>
      </c>
      <c r="I11" s="1" t="s">
        <v>1581</v>
      </c>
      <c r="J11" s="1">
        <v>7</v>
      </c>
      <c r="K11" s="1" t="s">
        <v>1550</v>
      </c>
      <c r="L11" s="1">
        <v>4</v>
      </c>
    </row>
    <row r="12" spans="1:12">
      <c r="A12" s="172"/>
      <c r="B12" s="1" t="s">
        <v>1094</v>
      </c>
      <c r="C12" s="1">
        <v>78</v>
      </c>
      <c r="D12" s="1">
        <v>2</v>
      </c>
      <c r="E12" s="1" t="s">
        <v>2444</v>
      </c>
      <c r="F12" s="1">
        <v>20</v>
      </c>
      <c r="G12" s="1" t="s">
        <v>2445</v>
      </c>
      <c r="H12" s="1">
        <v>7</v>
      </c>
      <c r="I12" s="1" t="s">
        <v>1581</v>
      </c>
      <c r="J12" s="1">
        <v>7</v>
      </c>
      <c r="K12" s="1" t="s">
        <v>1550</v>
      </c>
      <c r="L12" s="1">
        <v>4</v>
      </c>
    </row>
    <row r="13" spans="1:12">
      <c r="A13" s="172"/>
      <c r="B13" s="1" t="s">
        <v>1095</v>
      </c>
      <c r="C13" s="1">
        <v>84</v>
      </c>
      <c r="D13" s="1">
        <v>3</v>
      </c>
      <c r="E13" s="1" t="s">
        <v>2444</v>
      </c>
      <c r="F13" s="1">
        <v>25</v>
      </c>
      <c r="G13" s="1" t="s">
        <v>2445</v>
      </c>
      <c r="H13" s="1">
        <v>8</v>
      </c>
      <c r="I13" s="1" t="s">
        <v>1581</v>
      </c>
      <c r="J13" s="1">
        <v>8</v>
      </c>
      <c r="K13" s="1" t="s">
        <v>1550</v>
      </c>
      <c r="L13" s="1">
        <v>4</v>
      </c>
    </row>
    <row r="14" spans="1:12">
      <c r="A14" s="172"/>
      <c r="B14" s="1" t="s">
        <v>1096</v>
      </c>
      <c r="C14" s="1">
        <v>50</v>
      </c>
      <c r="D14" s="1">
        <v>2</v>
      </c>
      <c r="E14" s="1" t="s">
        <v>2446</v>
      </c>
      <c r="F14" s="1" t="s">
        <v>1569</v>
      </c>
      <c r="G14" s="1" t="s">
        <v>1575</v>
      </c>
      <c r="H14" s="1">
        <v>5</v>
      </c>
      <c r="I14" s="1" t="s">
        <v>1556</v>
      </c>
      <c r="J14" s="1">
        <v>5</v>
      </c>
      <c r="K14" s="1" t="s">
        <v>1771</v>
      </c>
      <c r="L14" s="1" t="s">
        <v>1771</v>
      </c>
    </row>
    <row r="15" spans="1:12">
      <c r="A15" s="172"/>
      <c r="B15" s="1" t="s">
        <v>1097</v>
      </c>
      <c r="C15" s="1">
        <v>52</v>
      </c>
      <c r="D15" s="1">
        <v>2</v>
      </c>
      <c r="E15" s="1" t="s">
        <v>2446</v>
      </c>
      <c r="F15" s="1" t="s">
        <v>1570</v>
      </c>
      <c r="G15" s="1" t="s">
        <v>1575</v>
      </c>
      <c r="H15" s="1">
        <v>5</v>
      </c>
      <c r="I15" s="1" t="s">
        <v>1553</v>
      </c>
      <c r="J15" s="1">
        <v>5</v>
      </c>
      <c r="K15" s="1" t="s">
        <v>1771</v>
      </c>
      <c r="L15" s="1" t="s">
        <v>1771</v>
      </c>
    </row>
    <row r="16" spans="1:12">
      <c r="A16" s="172"/>
      <c r="B16" s="1" t="s">
        <v>2447</v>
      </c>
      <c r="C16" s="1">
        <v>54</v>
      </c>
      <c r="D16" s="1">
        <v>2</v>
      </c>
      <c r="E16" s="1" t="s">
        <v>2446</v>
      </c>
      <c r="F16" s="1" t="s">
        <v>1571</v>
      </c>
      <c r="G16" s="1" t="s">
        <v>1575</v>
      </c>
      <c r="H16" s="1">
        <v>5</v>
      </c>
      <c r="I16" s="1" t="s">
        <v>1551</v>
      </c>
      <c r="J16" s="1">
        <v>5</v>
      </c>
      <c r="K16" s="1" t="s">
        <v>1771</v>
      </c>
      <c r="L16" s="1" t="s">
        <v>1771</v>
      </c>
    </row>
    <row r="17" spans="1:12">
      <c r="A17" s="172"/>
      <c r="B17" s="1" t="s">
        <v>1099</v>
      </c>
      <c r="C17" s="1">
        <v>56</v>
      </c>
      <c r="D17" s="1">
        <v>2</v>
      </c>
      <c r="E17" s="1" t="s">
        <v>2446</v>
      </c>
      <c r="F17" s="1" t="s">
        <v>1572</v>
      </c>
      <c r="G17" s="1" t="s">
        <v>1575</v>
      </c>
      <c r="H17" s="1">
        <v>5</v>
      </c>
      <c r="I17" s="1" t="s">
        <v>1552</v>
      </c>
      <c r="J17" s="1">
        <v>5</v>
      </c>
      <c r="K17" s="1" t="s">
        <v>1771</v>
      </c>
      <c r="L17" s="1" t="s">
        <v>1771</v>
      </c>
    </row>
    <row r="18" spans="1:12">
      <c r="A18" s="172"/>
      <c r="B18" s="1" t="s">
        <v>1100</v>
      </c>
      <c r="C18" s="1">
        <v>58</v>
      </c>
      <c r="D18" s="1">
        <v>2</v>
      </c>
      <c r="E18" s="1" t="s">
        <v>2446</v>
      </c>
      <c r="F18" s="1" t="s">
        <v>1573</v>
      </c>
      <c r="G18" s="1" t="s">
        <v>1575</v>
      </c>
      <c r="H18" s="1">
        <v>5</v>
      </c>
      <c r="I18" s="1" t="s">
        <v>1555</v>
      </c>
      <c r="J18" s="1">
        <v>5</v>
      </c>
      <c r="K18" s="1" t="s">
        <v>1771</v>
      </c>
      <c r="L18" s="1" t="s">
        <v>1771</v>
      </c>
    </row>
    <row r="19" spans="1:12">
      <c r="A19" s="172"/>
      <c r="B19" s="1" t="s">
        <v>1101</v>
      </c>
      <c r="C19" s="1">
        <v>60</v>
      </c>
      <c r="D19" s="1">
        <v>2</v>
      </c>
      <c r="E19" s="1" t="s">
        <v>2446</v>
      </c>
      <c r="F19" s="1" t="s">
        <v>2468</v>
      </c>
      <c r="G19" s="1" t="s">
        <v>1575</v>
      </c>
      <c r="H19" s="1">
        <v>5</v>
      </c>
      <c r="I19" s="1" t="s">
        <v>1554</v>
      </c>
      <c r="J19" s="1">
        <v>5</v>
      </c>
      <c r="K19" s="1" t="s">
        <v>1771</v>
      </c>
      <c r="L19" s="1" t="s">
        <v>1771</v>
      </c>
    </row>
    <row r="20" spans="1:12">
      <c r="A20" s="172"/>
      <c r="B20" s="1" t="s">
        <v>1102</v>
      </c>
      <c r="C20" s="1">
        <v>62</v>
      </c>
      <c r="D20" s="1">
        <v>2</v>
      </c>
      <c r="E20" s="1" t="s">
        <v>2446</v>
      </c>
      <c r="F20" s="1" t="s">
        <v>1574</v>
      </c>
      <c r="G20" s="1" t="s">
        <v>1575</v>
      </c>
      <c r="H20" s="1">
        <v>5</v>
      </c>
      <c r="I20" s="1" t="s">
        <v>1550</v>
      </c>
      <c r="J20" s="1">
        <v>5</v>
      </c>
      <c r="K20" s="1" t="s">
        <v>1771</v>
      </c>
      <c r="L20" s="1" t="s">
        <v>1771</v>
      </c>
    </row>
    <row r="21" spans="1:12">
      <c r="A21" s="172"/>
      <c r="B21" s="1" t="s">
        <v>1109</v>
      </c>
      <c r="C21" s="1">
        <v>86</v>
      </c>
      <c r="D21" s="1">
        <v>3</v>
      </c>
      <c r="E21" s="1" t="s">
        <v>2444</v>
      </c>
      <c r="F21" s="1">
        <v>30</v>
      </c>
      <c r="G21" s="1" t="s">
        <v>2448</v>
      </c>
      <c r="H21" s="1">
        <v>250</v>
      </c>
      <c r="I21" s="1" t="s">
        <v>2445</v>
      </c>
      <c r="J21" s="1">
        <v>10</v>
      </c>
      <c r="K21" s="1" t="s">
        <v>1550</v>
      </c>
      <c r="L21" s="1">
        <v>4</v>
      </c>
    </row>
    <row r="22" spans="1:12">
      <c r="A22" s="172"/>
      <c r="B22" s="1" t="s">
        <v>1110</v>
      </c>
      <c r="C22" s="1">
        <v>89</v>
      </c>
      <c r="D22" s="1">
        <v>3</v>
      </c>
      <c r="E22" s="1" t="s">
        <v>2444</v>
      </c>
      <c r="F22" s="1">
        <v>35</v>
      </c>
      <c r="G22" s="1" t="s">
        <v>2448</v>
      </c>
      <c r="H22" s="1">
        <v>300</v>
      </c>
      <c r="I22" s="1" t="s">
        <v>2445</v>
      </c>
      <c r="J22" s="1">
        <v>11</v>
      </c>
      <c r="K22" s="1" t="s">
        <v>1550</v>
      </c>
      <c r="L22" s="1">
        <v>5</v>
      </c>
    </row>
    <row r="23" spans="1:12">
      <c r="A23" s="172"/>
      <c r="B23" s="1" t="s">
        <v>2449</v>
      </c>
      <c r="C23" s="1">
        <v>92</v>
      </c>
      <c r="D23" s="1">
        <v>4</v>
      </c>
      <c r="E23" s="1" t="s">
        <v>2444</v>
      </c>
      <c r="F23" s="1">
        <v>40</v>
      </c>
      <c r="G23" s="1" t="s">
        <v>2448</v>
      </c>
      <c r="H23" s="1">
        <v>350</v>
      </c>
      <c r="I23" s="1" t="s">
        <v>2445</v>
      </c>
      <c r="J23" s="1">
        <v>12</v>
      </c>
      <c r="K23" s="1" t="s">
        <v>1550</v>
      </c>
      <c r="L23" s="1">
        <v>5</v>
      </c>
    </row>
    <row r="24" spans="1:12">
      <c r="A24" s="172"/>
      <c r="B24" s="1" t="s">
        <v>1111</v>
      </c>
      <c r="C24" s="1">
        <v>95</v>
      </c>
      <c r="D24" s="1">
        <v>4</v>
      </c>
      <c r="E24" s="1" t="s">
        <v>2444</v>
      </c>
      <c r="F24" s="1">
        <v>45</v>
      </c>
      <c r="G24" s="1" t="s">
        <v>2448</v>
      </c>
      <c r="H24" s="1">
        <v>400</v>
      </c>
      <c r="I24" s="1" t="s">
        <v>2445</v>
      </c>
      <c r="J24" s="1">
        <v>13</v>
      </c>
      <c r="K24" s="1" t="s">
        <v>1550</v>
      </c>
      <c r="L24" s="1">
        <v>6</v>
      </c>
    </row>
    <row r="25" spans="1:12">
      <c r="A25" s="172"/>
      <c r="B25" s="2" t="s">
        <v>2368</v>
      </c>
      <c r="C25" s="2">
        <v>110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72"/>
      <c r="B26" s="2" t="s">
        <v>2369</v>
      </c>
      <c r="C26" s="2">
        <v>120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72"/>
      <c r="B27" s="2" t="s">
        <v>2370</v>
      </c>
      <c r="C27" s="2">
        <v>130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72"/>
      <c r="B28" s="2" t="s">
        <v>1910</v>
      </c>
      <c r="C28" s="2">
        <v>140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72"/>
      <c r="B29" s="2" t="s">
        <v>1911</v>
      </c>
      <c r="C29" s="2">
        <v>150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72"/>
      <c r="B30" s="2" t="s">
        <v>1912</v>
      </c>
      <c r="C30" s="2">
        <v>160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2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>
      <c r="A32" s="172" t="s">
        <v>1589</v>
      </c>
      <c r="B32" s="1" t="s">
        <v>1131</v>
      </c>
      <c r="C32" s="1">
        <v>32</v>
      </c>
      <c r="D32" s="1">
        <v>1</v>
      </c>
      <c r="E32" s="1" t="s">
        <v>1575</v>
      </c>
      <c r="F32" s="1">
        <v>3</v>
      </c>
      <c r="G32" s="1" t="s">
        <v>1580</v>
      </c>
      <c r="H32" s="1">
        <v>3</v>
      </c>
      <c r="I32" s="1" t="s">
        <v>1550</v>
      </c>
      <c r="J32" s="1">
        <v>3</v>
      </c>
      <c r="K32" s="1" t="s">
        <v>1771</v>
      </c>
      <c r="L32" s="1" t="s">
        <v>1771</v>
      </c>
    </row>
    <row r="33" spans="1:12">
      <c r="A33" s="172"/>
      <c r="B33" s="1" t="s">
        <v>1132</v>
      </c>
      <c r="C33" s="1">
        <v>38</v>
      </c>
      <c r="D33" s="1">
        <v>1</v>
      </c>
      <c r="E33" s="1" t="s">
        <v>1575</v>
      </c>
      <c r="F33" s="1">
        <v>3</v>
      </c>
      <c r="G33" s="1" t="s">
        <v>1580</v>
      </c>
      <c r="H33" s="1">
        <v>3</v>
      </c>
      <c r="I33" s="1" t="s">
        <v>1550</v>
      </c>
      <c r="J33" s="1">
        <v>3</v>
      </c>
      <c r="K33" s="1" t="s">
        <v>1771</v>
      </c>
      <c r="L33" s="1" t="s">
        <v>1771</v>
      </c>
    </row>
    <row r="34" spans="1:12">
      <c r="A34" s="172"/>
      <c r="B34" s="1" t="s">
        <v>1133</v>
      </c>
      <c r="C34" s="1">
        <v>44</v>
      </c>
      <c r="D34" s="1">
        <v>1</v>
      </c>
      <c r="E34" s="1" t="s">
        <v>1575</v>
      </c>
      <c r="F34" s="1">
        <v>4</v>
      </c>
      <c r="G34" s="1" t="s">
        <v>1580</v>
      </c>
      <c r="H34" s="1">
        <v>4</v>
      </c>
      <c r="I34" s="1" t="s">
        <v>1550</v>
      </c>
      <c r="J34" s="1">
        <v>4</v>
      </c>
      <c r="K34" s="1" t="s">
        <v>1771</v>
      </c>
      <c r="L34" s="1" t="s">
        <v>1771</v>
      </c>
    </row>
    <row r="35" spans="1:12">
      <c r="A35" s="172"/>
      <c r="B35" s="1" t="s">
        <v>1134</v>
      </c>
      <c r="C35" s="1">
        <v>50</v>
      </c>
      <c r="D35" s="1">
        <v>1</v>
      </c>
      <c r="E35" s="1" t="s">
        <v>1575</v>
      </c>
      <c r="F35" s="1">
        <v>5</v>
      </c>
      <c r="G35" s="1" t="s">
        <v>1580</v>
      </c>
      <c r="H35" s="1">
        <v>5</v>
      </c>
      <c r="I35" s="1" t="s">
        <v>1550</v>
      </c>
      <c r="J35" s="1">
        <v>5</v>
      </c>
      <c r="K35" s="1" t="s">
        <v>1771</v>
      </c>
      <c r="L35" s="1" t="s">
        <v>1771</v>
      </c>
    </row>
    <row r="36" spans="1:12">
      <c r="A36" s="172"/>
      <c r="B36" s="1" t="s">
        <v>1135</v>
      </c>
      <c r="C36" s="1">
        <v>56</v>
      </c>
      <c r="D36" s="1">
        <v>1</v>
      </c>
      <c r="E36" s="1" t="s">
        <v>1575</v>
      </c>
      <c r="F36" s="1">
        <v>5</v>
      </c>
      <c r="G36" s="1" t="s">
        <v>1580</v>
      </c>
      <c r="H36" s="1">
        <v>5</v>
      </c>
      <c r="I36" s="1" t="s">
        <v>1550</v>
      </c>
      <c r="J36" s="1">
        <v>5</v>
      </c>
      <c r="K36" s="1" t="s">
        <v>1771</v>
      </c>
      <c r="L36" s="1" t="s">
        <v>1771</v>
      </c>
    </row>
    <row r="37" spans="1:12">
      <c r="A37" s="172"/>
      <c r="B37" s="1" t="s">
        <v>1136</v>
      </c>
      <c r="C37" s="1">
        <v>60</v>
      </c>
      <c r="D37" s="1">
        <v>2</v>
      </c>
      <c r="E37" s="1" t="s">
        <v>2881</v>
      </c>
      <c r="F37" s="1">
        <v>15</v>
      </c>
      <c r="G37" s="1" t="s">
        <v>2445</v>
      </c>
      <c r="H37" s="1">
        <v>6</v>
      </c>
      <c r="I37" s="1" t="s">
        <v>1581</v>
      </c>
      <c r="J37" s="1">
        <v>6</v>
      </c>
      <c r="K37" s="1" t="s">
        <v>1550</v>
      </c>
      <c r="L37" s="1">
        <v>3</v>
      </c>
    </row>
    <row r="38" spans="1:12">
      <c r="A38" s="172"/>
      <c r="B38" s="1" t="s">
        <v>1137</v>
      </c>
      <c r="C38" s="1">
        <v>66</v>
      </c>
      <c r="D38" s="1">
        <v>2</v>
      </c>
      <c r="E38" s="1" t="s">
        <v>2881</v>
      </c>
      <c r="F38" s="1">
        <v>15</v>
      </c>
      <c r="G38" s="1" t="s">
        <v>2445</v>
      </c>
      <c r="H38" s="1">
        <v>6</v>
      </c>
      <c r="I38" s="1" t="s">
        <v>1581</v>
      </c>
      <c r="J38" s="1">
        <v>6</v>
      </c>
      <c r="K38" s="1" t="s">
        <v>1550</v>
      </c>
      <c r="L38" s="1">
        <v>3</v>
      </c>
    </row>
    <row r="39" spans="1:12">
      <c r="A39" s="172"/>
      <c r="B39" s="1" t="s">
        <v>1138</v>
      </c>
      <c r="C39" s="1">
        <v>70</v>
      </c>
      <c r="D39" s="1">
        <v>2</v>
      </c>
      <c r="E39" s="1" t="s">
        <v>2881</v>
      </c>
      <c r="F39" s="1">
        <v>20</v>
      </c>
      <c r="G39" s="1" t="s">
        <v>2445</v>
      </c>
      <c r="H39" s="1">
        <v>7</v>
      </c>
      <c r="I39" s="1" t="s">
        <v>1581</v>
      </c>
      <c r="J39" s="1">
        <v>7</v>
      </c>
      <c r="K39" s="1" t="s">
        <v>1550</v>
      </c>
      <c r="L39" s="1">
        <v>4</v>
      </c>
    </row>
    <row r="40" spans="1:12">
      <c r="A40" s="172"/>
      <c r="B40" s="1" t="s">
        <v>1139</v>
      </c>
      <c r="C40" s="1">
        <v>74</v>
      </c>
      <c r="D40" s="1">
        <v>2</v>
      </c>
      <c r="E40" s="1" t="s">
        <v>2881</v>
      </c>
      <c r="F40" s="1">
        <v>20</v>
      </c>
      <c r="G40" s="1" t="s">
        <v>2445</v>
      </c>
      <c r="H40" s="1">
        <v>7</v>
      </c>
      <c r="I40" s="1" t="s">
        <v>1581</v>
      </c>
      <c r="J40" s="1">
        <v>7</v>
      </c>
      <c r="K40" s="1" t="s">
        <v>1550</v>
      </c>
      <c r="L40" s="1">
        <v>4</v>
      </c>
    </row>
    <row r="41" spans="1:12">
      <c r="A41" s="172"/>
      <c r="B41" s="1" t="s">
        <v>1140</v>
      </c>
      <c r="C41" s="1">
        <v>78</v>
      </c>
      <c r="D41" s="1">
        <v>2</v>
      </c>
      <c r="E41" s="1" t="s">
        <v>2881</v>
      </c>
      <c r="F41" s="1">
        <v>20</v>
      </c>
      <c r="G41" s="1" t="s">
        <v>2445</v>
      </c>
      <c r="H41" s="1">
        <v>7</v>
      </c>
      <c r="I41" s="1" t="s">
        <v>1581</v>
      </c>
      <c r="J41" s="1">
        <v>7</v>
      </c>
      <c r="K41" s="1" t="s">
        <v>1550</v>
      </c>
      <c r="L41" s="1">
        <v>4</v>
      </c>
    </row>
    <row r="42" spans="1:12">
      <c r="A42" s="172"/>
      <c r="B42" s="1" t="s">
        <v>1141</v>
      </c>
      <c r="C42" s="1">
        <v>84</v>
      </c>
      <c r="D42" s="1">
        <v>3</v>
      </c>
      <c r="E42" s="1" t="s">
        <v>2881</v>
      </c>
      <c r="F42" s="1">
        <v>25</v>
      </c>
      <c r="G42" s="1" t="s">
        <v>2445</v>
      </c>
      <c r="H42" s="1">
        <v>8</v>
      </c>
      <c r="I42" s="1" t="s">
        <v>1581</v>
      </c>
      <c r="J42" s="1">
        <v>8</v>
      </c>
      <c r="K42" s="1" t="s">
        <v>1550</v>
      </c>
      <c r="L42" s="1">
        <v>4</v>
      </c>
    </row>
    <row r="43" spans="1:12">
      <c r="A43" s="172"/>
      <c r="B43" s="1" t="s">
        <v>1142</v>
      </c>
      <c r="C43" s="1">
        <v>50</v>
      </c>
      <c r="D43" s="1">
        <v>2</v>
      </c>
      <c r="E43" s="1" t="s">
        <v>2446</v>
      </c>
      <c r="F43" s="1" t="s">
        <v>1569</v>
      </c>
      <c r="G43" s="1" t="s">
        <v>1575</v>
      </c>
      <c r="H43" s="1">
        <v>5</v>
      </c>
      <c r="I43" s="1" t="s">
        <v>1556</v>
      </c>
      <c r="J43" s="1">
        <v>5</v>
      </c>
      <c r="K43" s="1" t="s">
        <v>1771</v>
      </c>
      <c r="L43" s="1" t="s">
        <v>1771</v>
      </c>
    </row>
    <row r="44" spans="1:12">
      <c r="A44" s="172"/>
      <c r="B44" s="1" t="s">
        <v>1143</v>
      </c>
      <c r="C44" s="1">
        <v>52</v>
      </c>
      <c r="D44" s="1">
        <v>2</v>
      </c>
      <c r="E44" s="1" t="s">
        <v>2446</v>
      </c>
      <c r="F44" s="1" t="s">
        <v>1570</v>
      </c>
      <c r="G44" s="1" t="s">
        <v>1575</v>
      </c>
      <c r="H44" s="1">
        <v>5</v>
      </c>
      <c r="I44" s="1" t="s">
        <v>1553</v>
      </c>
      <c r="J44" s="1">
        <v>5</v>
      </c>
      <c r="K44" s="1" t="s">
        <v>1771</v>
      </c>
      <c r="L44" s="1" t="s">
        <v>1771</v>
      </c>
    </row>
    <row r="45" spans="1:12">
      <c r="A45" s="172"/>
      <c r="B45" s="1" t="s">
        <v>1144</v>
      </c>
      <c r="C45" s="1">
        <v>54</v>
      </c>
      <c r="D45" s="1">
        <v>2</v>
      </c>
      <c r="E45" s="1" t="s">
        <v>2446</v>
      </c>
      <c r="F45" s="1" t="s">
        <v>1571</v>
      </c>
      <c r="G45" s="1" t="s">
        <v>1575</v>
      </c>
      <c r="H45" s="1">
        <v>5</v>
      </c>
      <c r="I45" s="1" t="s">
        <v>1551</v>
      </c>
      <c r="J45" s="1">
        <v>5</v>
      </c>
      <c r="K45" s="1" t="s">
        <v>1771</v>
      </c>
      <c r="L45" s="1" t="s">
        <v>1771</v>
      </c>
    </row>
    <row r="46" spans="1:12">
      <c r="A46" s="172"/>
      <c r="B46" s="1" t="s">
        <v>1145</v>
      </c>
      <c r="C46" s="1">
        <v>56</v>
      </c>
      <c r="D46" s="1">
        <v>2</v>
      </c>
      <c r="E46" s="1" t="s">
        <v>2446</v>
      </c>
      <c r="F46" s="1" t="s">
        <v>1572</v>
      </c>
      <c r="G46" s="1" t="s">
        <v>1575</v>
      </c>
      <c r="H46" s="1">
        <v>5</v>
      </c>
      <c r="I46" s="1" t="s">
        <v>1552</v>
      </c>
      <c r="J46" s="1">
        <v>5</v>
      </c>
      <c r="K46" s="1" t="s">
        <v>1771</v>
      </c>
      <c r="L46" s="1" t="s">
        <v>1771</v>
      </c>
    </row>
    <row r="47" spans="1:12">
      <c r="A47" s="172"/>
      <c r="B47" s="1" t="s">
        <v>1146</v>
      </c>
      <c r="C47" s="1">
        <v>58</v>
      </c>
      <c r="D47" s="1">
        <v>2</v>
      </c>
      <c r="E47" s="1" t="s">
        <v>2446</v>
      </c>
      <c r="F47" s="1" t="s">
        <v>1573</v>
      </c>
      <c r="G47" s="1" t="s">
        <v>1575</v>
      </c>
      <c r="H47" s="1">
        <v>5</v>
      </c>
      <c r="I47" s="1" t="s">
        <v>1555</v>
      </c>
      <c r="J47" s="1">
        <v>5</v>
      </c>
      <c r="K47" s="1" t="s">
        <v>1771</v>
      </c>
      <c r="L47" s="1" t="s">
        <v>1771</v>
      </c>
    </row>
    <row r="48" spans="1:12">
      <c r="A48" s="172"/>
      <c r="B48" s="1" t="s">
        <v>2469</v>
      </c>
      <c r="C48" s="1">
        <v>60</v>
      </c>
      <c r="D48" s="1">
        <v>2</v>
      </c>
      <c r="E48" s="1" t="s">
        <v>2446</v>
      </c>
      <c r="F48" s="1" t="s">
        <v>2468</v>
      </c>
      <c r="G48" s="1" t="s">
        <v>1575</v>
      </c>
      <c r="H48" s="1">
        <v>5</v>
      </c>
      <c r="I48" s="1" t="s">
        <v>1554</v>
      </c>
      <c r="J48" s="1">
        <v>5</v>
      </c>
      <c r="K48" s="1" t="s">
        <v>1771</v>
      </c>
      <c r="L48" s="1" t="s">
        <v>1771</v>
      </c>
    </row>
    <row r="49" spans="1:12">
      <c r="A49" s="172"/>
      <c r="B49" s="1" t="s">
        <v>1147</v>
      </c>
      <c r="C49" s="1">
        <v>62</v>
      </c>
      <c r="D49" s="1">
        <v>2</v>
      </c>
      <c r="E49" s="1" t="s">
        <v>2446</v>
      </c>
      <c r="F49" s="1" t="s">
        <v>1574</v>
      </c>
      <c r="G49" s="1" t="s">
        <v>1575</v>
      </c>
      <c r="H49" s="1">
        <v>5</v>
      </c>
      <c r="I49" s="1" t="s">
        <v>1550</v>
      </c>
      <c r="J49" s="1">
        <v>5</v>
      </c>
      <c r="K49" s="1" t="s">
        <v>1771</v>
      </c>
      <c r="L49" s="1" t="s">
        <v>1771</v>
      </c>
    </row>
    <row r="50" spans="1:12">
      <c r="A50" s="172"/>
      <c r="B50" s="1" t="s">
        <v>1190</v>
      </c>
      <c r="C50" s="1">
        <v>86</v>
      </c>
      <c r="D50" s="1">
        <v>3</v>
      </c>
      <c r="E50" s="1" t="s">
        <v>2881</v>
      </c>
      <c r="F50" s="1">
        <v>30</v>
      </c>
      <c r="G50" s="1" t="s">
        <v>2448</v>
      </c>
      <c r="H50" s="1">
        <v>250</v>
      </c>
      <c r="I50" s="1" t="s">
        <v>2445</v>
      </c>
      <c r="J50" s="1">
        <v>10</v>
      </c>
      <c r="K50" s="1" t="s">
        <v>1550</v>
      </c>
      <c r="L50" s="1">
        <v>4</v>
      </c>
    </row>
    <row r="51" spans="1:12">
      <c r="A51" s="172"/>
      <c r="B51" s="1" t="s">
        <v>1191</v>
      </c>
      <c r="C51" s="1">
        <v>89</v>
      </c>
      <c r="D51" s="1">
        <v>3</v>
      </c>
      <c r="E51" s="1" t="s">
        <v>2881</v>
      </c>
      <c r="F51" s="1">
        <v>35</v>
      </c>
      <c r="G51" s="1" t="s">
        <v>2448</v>
      </c>
      <c r="H51" s="1">
        <v>300</v>
      </c>
      <c r="I51" s="1" t="s">
        <v>2445</v>
      </c>
      <c r="J51" s="1">
        <v>11</v>
      </c>
      <c r="K51" s="1" t="s">
        <v>1550</v>
      </c>
      <c r="L51" s="1">
        <v>5</v>
      </c>
    </row>
    <row r="52" spans="1:12">
      <c r="A52" s="172"/>
      <c r="B52" s="1" t="s">
        <v>1192</v>
      </c>
      <c r="C52" s="1">
        <v>92</v>
      </c>
      <c r="D52" s="1">
        <v>4</v>
      </c>
      <c r="E52" s="1" t="s">
        <v>2881</v>
      </c>
      <c r="F52" s="1">
        <v>40</v>
      </c>
      <c r="G52" s="1" t="s">
        <v>2448</v>
      </c>
      <c r="H52" s="1">
        <v>350</v>
      </c>
      <c r="I52" s="1" t="s">
        <v>2445</v>
      </c>
      <c r="J52" s="1">
        <v>12</v>
      </c>
      <c r="K52" s="1" t="s">
        <v>1550</v>
      </c>
      <c r="L52" s="1">
        <v>5</v>
      </c>
    </row>
    <row r="53" spans="1:12">
      <c r="A53" s="172"/>
      <c r="B53" s="1" t="s">
        <v>1193</v>
      </c>
      <c r="C53" s="1">
        <v>95</v>
      </c>
      <c r="D53" s="1">
        <v>4</v>
      </c>
      <c r="E53" s="1" t="s">
        <v>2881</v>
      </c>
      <c r="F53" s="1">
        <v>45</v>
      </c>
      <c r="G53" s="1" t="s">
        <v>2448</v>
      </c>
      <c r="H53" s="1">
        <v>400</v>
      </c>
      <c r="I53" s="1" t="s">
        <v>2445</v>
      </c>
      <c r="J53" s="1">
        <v>13</v>
      </c>
      <c r="K53" s="1" t="s">
        <v>1550</v>
      </c>
      <c r="L53" s="1">
        <v>6</v>
      </c>
    </row>
    <row r="54" spans="1:12">
      <c r="A54" s="172"/>
      <c r="B54" s="2" t="s">
        <v>2371</v>
      </c>
      <c r="C54" s="2">
        <v>110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72"/>
      <c r="B55" s="2" t="s">
        <v>2372</v>
      </c>
      <c r="C55" s="2">
        <v>120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72"/>
      <c r="B56" s="2" t="s">
        <v>2373</v>
      </c>
      <c r="C56" s="2">
        <v>130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72"/>
      <c r="B57" s="2" t="s">
        <v>1913</v>
      </c>
      <c r="C57" s="2">
        <v>140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72"/>
      <c r="B58" s="2" t="s">
        <v>1914</v>
      </c>
      <c r="C58" s="2">
        <v>150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72"/>
      <c r="B59" s="2" t="s">
        <v>1915</v>
      </c>
      <c r="C59" s="2">
        <v>160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3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>
      <c r="A61" s="172" t="s">
        <v>1590</v>
      </c>
      <c r="B61" s="1" t="s">
        <v>1169</v>
      </c>
      <c r="C61" s="1">
        <v>32</v>
      </c>
      <c r="D61" s="1">
        <v>1</v>
      </c>
      <c r="E61" s="1" t="s">
        <v>1575</v>
      </c>
      <c r="F61" s="1">
        <v>3</v>
      </c>
      <c r="G61" s="1" t="s">
        <v>1580</v>
      </c>
      <c r="H61" s="1">
        <v>3</v>
      </c>
      <c r="I61" s="1" t="s">
        <v>1550</v>
      </c>
      <c r="J61" s="1">
        <v>3</v>
      </c>
      <c r="K61" s="1" t="s">
        <v>1771</v>
      </c>
      <c r="L61" s="1" t="s">
        <v>1771</v>
      </c>
    </row>
    <row r="62" spans="1:12">
      <c r="A62" s="172"/>
      <c r="B62" s="1" t="s">
        <v>1170</v>
      </c>
      <c r="C62" s="1">
        <v>38</v>
      </c>
      <c r="D62" s="1">
        <v>1</v>
      </c>
      <c r="E62" s="1" t="s">
        <v>1575</v>
      </c>
      <c r="F62" s="1">
        <v>3</v>
      </c>
      <c r="G62" s="1" t="s">
        <v>1580</v>
      </c>
      <c r="H62" s="1">
        <v>3</v>
      </c>
      <c r="I62" s="1" t="s">
        <v>1550</v>
      </c>
      <c r="J62" s="1">
        <v>3</v>
      </c>
      <c r="K62" s="1" t="s">
        <v>1771</v>
      </c>
      <c r="L62" s="1" t="s">
        <v>1771</v>
      </c>
    </row>
    <row r="63" spans="1:12">
      <c r="A63" s="172"/>
      <c r="B63" s="1" t="s">
        <v>1171</v>
      </c>
      <c r="C63" s="1">
        <v>44</v>
      </c>
      <c r="D63" s="1">
        <v>1</v>
      </c>
      <c r="E63" s="1" t="s">
        <v>1575</v>
      </c>
      <c r="F63" s="1">
        <v>4</v>
      </c>
      <c r="G63" s="1" t="s">
        <v>1580</v>
      </c>
      <c r="H63" s="1">
        <v>4</v>
      </c>
      <c r="I63" s="1" t="s">
        <v>1550</v>
      </c>
      <c r="J63" s="1">
        <v>4</v>
      </c>
      <c r="K63" s="1" t="s">
        <v>1771</v>
      </c>
      <c r="L63" s="1" t="s">
        <v>1771</v>
      </c>
    </row>
    <row r="64" spans="1:12">
      <c r="A64" s="172"/>
      <c r="B64" s="1" t="s">
        <v>1172</v>
      </c>
      <c r="C64" s="1">
        <v>50</v>
      </c>
      <c r="D64" s="1">
        <v>1</v>
      </c>
      <c r="E64" s="1" t="s">
        <v>1575</v>
      </c>
      <c r="F64" s="1">
        <v>5</v>
      </c>
      <c r="G64" s="1" t="s">
        <v>1580</v>
      </c>
      <c r="H64" s="1">
        <v>5</v>
      </c>
      <c r="I64" s="1" t="s">
        <v>1550</v>
      </c>
      <c r="J64" s="1">
        <v>5</v>
      </c>
      <c r="K64" s="1" t="s">
        <v>1771</v>
      </c>
      <c r="L64" s="1" t="s">
        <v>1771</v>
      </c>
    </row>
    <row r="65" spans="1:12">
      <c r="A65" s="172"/>
      <c r="B65" s="1" t="s">
        <v>1173</v>
      </c>
      <c r="C65" s="1">
        <v>56</v>
      </c>
      <c r="D65" s="1">
        <v>1</v>
      </c>
      <c r="E65" s="1" t="s">
        <v>1575</v>
      </c>
      <c r="F65" s="1">
        <v>5</v>
      </c>
      <c r="G65" s="1" t="s">
        <v>1580</v>
      </c>
      <c r="H65" s="1">
        <v>5</v>
      </c>
      <c r="I65" s="1" t="s">
        <v>1550</v>
      </c>
      <c r="J65" s="1">
        <v>5</v>
      </c>
      <c r="K65" s="1" t="s">
        <v>1771</v>
      </c>
      <c r="L65" s="1" t="s">
        <v>1771</v>
      </c>
    </row>
    <row r="66" spans="1:12">
      <c r="A66" s="172"/>
      <c r="B66" s="1" t="s">
        <v>1174</v>
      </c>
      <c r="C66" s="1">
        <v>60</v>
      </c>
      <c r="D66" s="1">
        <v>2</v>
      </c>
      <c r="E66" s="1" t="s">
        <v>2882</v>
      </c>
      <c r="F66" s="1">
        <v>15</v>
      </c>
      <c r="G66" s="1" t="s">
        <v>2445</v>
      </c>
      <c r="H66" s="1">
        <v>6</v>
      </c>
      <c r="I66" s="1" t="s">
        <v>1581</v>
      </c>
      <c r="J66" s="1">
        <v>6</v>
      </c>
      <c r="K66" s="1" t="s">
        <v>1550</v>
      </c>
      <c r="L66" s="1">
        <v>3</v>
      </c>
    </row>
    <row r="67" spans="1:12">
      <c r="A67" s="172"/>
      <c r="B67" s="1" t="s">
        <v>1175</v>
      </c>
      <c r="C67" s="1">
        <v>66</v>
      </c>
      <c r="D67" s="1">
        <v>2</v>
      </c>
      <c r="E67" s="1" t="s">
        <v>2883</v>
      </c>
      <c r="F67" s="1">
        <v>15</v>
      </c>
      <c r="G67" s="1" t="s">
        <v>2445</v>
      </c>
      <c r="H67" s="1">
        <v>6</v>
      </c>
      <c r="I67" s="1" t="s">
        <v>1581</v>
      </c>
      <c r="J67" s="1">
        <v>6</v>
      </c>
      <c r="K67" s="1" t="s">
        <v>1550</v>
      </c>
      <c r="L67" s="1">
        <v>3</v>
      </c>
    </row>
    <row r="68" spans="1:12">
      <c r="A68" s="172"/>
      <c r="B68" s="1" t="s">
        <v>1176</v>
      </c>
      <c r="C68" s="1">
        <v>70</v>
      </c>
      <c r="D68" s="1">
        <v>2</v>
      </c>
      <c r="E68" s="1" t="s">
        <v>2883</v>
      </c>
      <c r="F68" s="1">
        <v>20</v>
      </c>
      <c r="G68" s="1" t="s">
        <v>2445</v>
      </c>
      <c r="H68" s="1">
        <v>7</v>
      </c>
      <c r="I68" s="1" t="s">
        <v>1581</v>
      </c>
      <c r="J68" s="1">
        <v>7</v>
      </c>
      <c r="K68" s="1" t="s">
        <v>1550</v>
      </c>
      <c r="L68" s="1">
        <v>4</v>
      </c>
    </row>
    <row r="69" spans="1:12">
      <c r="A69" s="172"/>
      <c r="B69" s="1" t="s">
        <v>1177</v>
      </c>
      <c r="C69" s="1">
        <v>74</v>
      </c>
      <c r="D69" s="1">
        <v>2</v>
      </c>
      <c r="E69" s="1" t="s">
        <v>2883</v>
      </c>
      <c r="F69" s="1">
        <v>20</v>
      </c>
      <c r="G69" s="1" t="s">
        <v>2445</v>
      </c>
      <c r="H69" s="1">
        <v>7</v>
      </c>
      <c r="I69" s="1" t="s">
        <v>1581</v>
      </c>
      <c r="J69" s="1">
        <v>7</v>
      </c>
      <c r="K69" s="1" t="s">
        <v>1550</v>
      </c>
      <c r="L69" s="1">
        <v>4</v>
      </c>
    </row>
    <row r="70" spans="1:12">
      <c r="A70" s="172"/>
      <c r="B70" s="1" t="s">
        <v>1178</v>
      </c>
      <c r="C70" s="1">
        <v>78</v>
      </c>
      <c r="D70" s="1">
        <v>2</v>
      </c>
      <c r="E70" s="1" t="s">
        <v>2883</v>
      </c>
      <c r="F70" s="1">
        <v>20</v>
      </c>
      <c r="G70" s="1" t="s">
        <v>2445</v>
      </c>
      <c r="H70" s="1">
        <v>7</v>
      </c>
      <c r="I70" s="1" t="s">
        <v>1581</v>
      </c>
      <c r="J70" s="1">
        <v>7</v>
      </c>
      <c r="K70" s="1" t="s">
        <v>1550</v>
      </c>
      <c r="L70" s="1">
        <v>4</v>
      </c>
    </row>
    <row r="71" spans="1:12">
      <c r="A71" s="172"/>
      <c r="B71" s="1" t="s">
        <v>1179</v>
      </c>
      <c r="C71" s="1">
        <v>84</v>
      </c>
      <c r="D71" s="1">
        <v>3</v>
      </c>
      <c r="E71" s="1" t="s">
        <v>2883</v>
      </c>
      <c r="F71" s="1">
        <v>25</v>
      </c>
      <c r="G71" s="1" t="s">
        <v>2445</v>
      </c>
      <c r="H71" s="1">
        <v>8</v>
      </c>
      <c r="I71" s="1" t="s">
        <v>1581</v>
      </c>
      <c r="J71" s="1">
        <v>8</v>
      </c>
      <c r="K71" s="1" t="s">
        <v>1550</v>
      </c>
      <c r="L71" s="1">
        <v>4</v>
      </c>
    </row>
    <row r="72" spans="1:12">
      <c r="A72" s="172"/>
      <c r="B72" s="1" t="s">
        <v>1180</v>
      </c>
      <c r="C72" s="1">
        <v>50</v>
      </c>
      <c r="D72" s="1">
        <v>2</v>
      </c>
      <c r="E72" s="1" t="s">
        <v>2446</v>
      </c>
      <c r="F72" s="1" t="s">
        <v>1569</v>
      </c>
      <c r="G72" s="1" t="s">
        <v>1575</v>
      </c>
      <c r="H72" s="1">
        <v>5</v>
      </c>
      <c r="I72" s="1" t="s">
        <v>1556</v>
      </c>
      <c r="J72" s="1">
        <v>5</v>
      </c>
      <c r="K72" s="1" t="s">
        <v>1771</v>
      </c>
      <c r="L72" s="1" t="s">
        <v>1771</v>
      </c>
    </row>
    <row r="73" spans="1:12">
      <c r="A73" s="172"/>
      <c r="B73" s="1" t="s">
        <v>1181</v>
      </c>
      <c r="C73" s="1">
        <v>52</v>
      </c>
      <c r="D73" s="1">
        <v>2</v>
      </c>
      <c r="E73" s="1" t="s">
        <v>2446</v>
      </c>
      <c r="F73" s="1" t="s">
        <v>1570</v>
      </c>
      <c r="G73" s="1" t="s">
        <v>1575</v>
      </c>
      <c r="H73" s="1">
        <v>5</v>
      </c>
      <c r="I73" s="1" t="s">
        <v>1553</v>
      </c>
      <c r="J73" s="1">
        <v>5</v>
      </c>
      <c r="K73" s="1" t="s">
        <v>1771</v>
      </c>
      <c r="L73" s="1" t="s">
        <v>1771</v>
      </c>
    </row>
    <row r="74" spans="1:12">
      <c r="A74" s="172"/>
      <c r="B74" s="1" t="s">
        <v>1182</v>
      </c>
      <c r="C74" s="1">
        <v>54</v>
      </c>
      <c r="D74" s="1">
        <v>2</v>
      </c>
      <c r="E74" s="1" t="s">
        <v>2446</v>
      </c>
      <c r="F74" s="1" t="s">
        <v>1571</v>
      </c>
      <c r="G74" s="1" t="s">
        <v>1575</v>
      </c>
      <c r="H74" s="1">
        <v>5</v>
      </c>
      <c r="I74" s="1" t="s">
        <v>1551</v>
      </c>
      <c r="J74" s="1">
        <v>5</v>
      </c>
      <c r="K74" s="1" t="s">
        <v>1771</v>
      </c>
      <c r="L74" s="1" t="s">
        <v>1771</v>
      </c>
    </row>
    <row r="75" spans="1:12">
      <c r="A75" s="172"/>
      <c r="B75" s="1" t="s">
        <v>1183</v>
      </c>
      <c r="C75" s="1">
        <v>56</v>
      </c>
      <c r="D75" s="1">
        <v>2</v>
      </c>
      <c r="E75" s="1" t="s">
        <v>2446</v>
      </c>
      <c r="F75" s="1" t="s">
        <v>1572</v>
      </c>
      <c r="G75" s="1" t="s">
        <v>1575</v>
      </c>
      <c r="H75" s="1">
        <v>5</v>
      </c>
      <c r="I75" s="1" t="s">
        <v>1552</v>
      </c>
      <c r="J75" s="1">
        <v>5</v>
      </c>
      <c r="K75" s="1" t="s">
        <v>1771</v>
      </c>
      <c r="L75" s="1" t="s">
        <v>1771</v>
      </c>
    </row>
    <row r="76" spans="1:12">
      <c r="A76" s="172"/>
      <c r="B76" s="1" t="s">
        <v>1184</v>
      </c>
      <c r="C76" s="1">
        <v>58</v>
      </c>
      <c r="D76" s="1">
        <v>2</v>
      </c>
      <c r="E76" s="1" t="s">
        <v>2446</v>
      </c>
      <c r="F76" s="1" t="s">
        <v>1573</v>
      </c>
      <c r="G76" s="1" t="s">
        <v>1575</v>
      </c>
      <c r="H76" s="1">
        <v>5</v>
      </c>
      <c r="I76" s="1" t="s">
        <v>1555</v>
      </c>
      <c r="J76" s="1">
        <v>5</v>
      </c>
      <c r="K76" s="1" t="s">
        <v>1771</v>
      </c>
      <c r="L76" s="1" t="s">
        <v>1771</v>
      </c>
    </row>
    <row r="77" spans="1:12">
      <c r="A77" s="172"/>
      <c r="B77" s="1" t="s">
        <v>1185</v>
      </c>
      <c r="C77" s="1">
        <v>60</v>
      </c>
      <c r="D77" s="1">
        <v>2</v>
      </c>
      <c r="E77" s="1" t="s">
        <v>2446</v>
      </c>
      <c r="F77" s="1" t="s">
        <v>2468</v>
      </c>
      <c r="G77" s="1" t="s">
        <v>1575</v>
      </c>
      <c r="H77" s="1">
        <v>5</v>
      </c>
      <c r="I77" s="1" t="s">
        <v>1554</v>
      </c>
      <c r="J77" s="1">
        <v>5</v>
      </c>
      <c r="K77" s="1" t="s">
        <v>1771</v>
      </c>
      <c r="L77" s="1" t="s">
        <v>1771</v>
      </c>
    </row>
    <row r="78" spans="1:12">
      <c r="A78" s="172"/>
      <c r="B78" s="1" t="s">
        <v>2884</v>
      </c>
      <c r="C78" s="1">
        <v>62</v>
      </c>
      <c r="D78" s="1">
        <v>2</v>
      </c>
      <c r="E78" s="1" t="s">
        <v>2446</v>
      </c>
      <c r="F78" s="1" t="s">
        <v>1574</v>
      </c>
      <c r="G78" s="1" t="s">
        <v>1575</v>
      </c>
      <c r="H78" s="1">
        <v>5</v>
      </c>
      <c r="I78" s="1" t="s">
        <v>1550</v>
      </c>
      <c r="J78" s="1">
        <v>5</v>
      </c>
      <c r="K78" s="1" t="s">
        <v>1771</v>
      </c>
      <c r="L78" s="1" t="s">
        <v>1771</v>
      </c>
    </row>
    <row r="79" spans="1:12">
      <c r="A79" s="172"/>
      <c r="B79" s="1" t="s">
        <v>1194</v>
      </c>
      <c r="C79" s="1">
        <v>86</v>
      </c>
      <c r="D79" s="1">
        <v>3</v>
      </c>
      <c r="E79" s="1" t="s">
        <v>2883</v>
      </c>
      <c r="F79" s="1">
        <v>30</v>
      </c>
      <c r="G79" s="1" t="s">
        <v>2448</v>
      </c>
      <c r="H79" s="1">
        <v>250</v>
      </c>
      <c r="I79" s="1" t="s">
        <v>2445</v>
      </c>
      <c r="J79" s="1">
        <v>10</v>
      </c>
      <c r="K79" s="1" t="s">
        <v>1550</v>
      </c>
      <c r="L79" s="1">
        <v>4</v>
      </c>
    </row>
    <row r="80" spans="1:12">
      <c r="A80" s="172"/>
      <c r="B80" s="1" t="s">
        <v>1195</v>
      </c>
      <c r="C80" s="1">
        <v>89</v>
      </c>
      <c r="D80" s="1">
        <v>3</v>
      </c>
      <c r="E80" s="1" t="s">
        <v>2883</v>
      </c>
      <c r="F80" s="1">
        <v>35</v>
      </c>
      <c r="G80" s="1" t="s">
        <v>2448</v>
      </c>
      <c r="H80" s="1">
        <v>300</v>
      </c>
      <c r="I80" s="1" t="s">
        <v>2445</v>
      </c>
      <c r="J80" s="1">
        <v>11</v>
      </c>
      <c r="K80" s="1" t="s">
        <v>1550</v>
      </c>
      <c r="L80" s="1">
        <v>5</v>
      </c>
    </row>
    <row r="81" spans="1:12">
      <c r="A81" s="172"/>
      <c r="B81" s="1" t="s">
        <v>1196</v>
      </c>
      <c r="C81" s="1">
        <v>92</v>
      </c>
      <c r="D81" s="1">
        <v>4</v>
      </c>
      <c r="E81" s="1" t="s">
        <v>2883</v>
      </c>
      <c r="F81" s="1">
        <v>40</v>
      </c>
      <c r="G81" s="1" t="s">
        <v>2448</v>
      </c>
      <c r="H81" s="1">
        <v>350</v>
      </c>
      <c r="I81" s="1" t="s">
        <v>2445</v>
      </c>
      <c r="J81" s="1">
        <v>12</v>
      </c>
      <c r="K81" s="1" t="s">
        <v>1550</v>
      </c>
      <c r="L81" s="1">
        <v>5</v>
      </c>
    </row>
    <row r="82" spans="1:12">
      <c r="A82" s="172"/>
      <c r="B82" s="1" t="s">
        <v>1197</v>
      </c>
      <c r="C82" s="1">
        <v>95</v>
      </c>
      <c r="D82" s="1">
        <v>4</v>
      </c>
      <c r="E82" s="1" t="s">
        <v>2883</v>
      </c>
      <c r="F82" s="1">
        <v>45</v>
      </c>
      <c r="G82" s="1" t="s">
        <v>2448</v>
      </c>
      <c r="H82" s="1">
        <v>400</v>
      </c>
      <c r="I82" s="1" t="s">
        <v>2445</v>
      </c>
      <c r="J82" s="1">
        <v>13</v>
      </c>
      <c r="K82" s="1" t="s">
        <v>1550</v>
      </c>
      <c r="L82" s="1">
        <v>6</v>
      </c>
    </row>
    <row r="83" spans="1:12">
      <c r="A83" s="172"/>
      <c r="B83" s="2" t="s">
        <v>2374</v>
      </c>
      <c r="C83" s="2">
        <v>110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72"/>
      <c r="B84" s="2" t="s">
        <v>2375</v>
      </c>
      <c r="C84" s="2">
        <v>120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72"/>
      <c r="B85" s="2" t="s">
        <v>2376</v>
      </c>
      <c r="C85" s="2">
        <v>130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72"/>
      <c r="B86" s="2" t="s">
        <v>1916</v>
      </c>
      <c r="C86" s="2">
        <v>140</v>
      </c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72"/>
      <c r="B87" s="2" t="s">
        <v>1917</v>
      </c>
      <c r="C87" s="2">
        <v>150</v>
      </c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72"/>
      <c r="B88" s="2" t="s">
        <v>1918</v>
      </c>
      <c r="C88" s="2">
        <v>160</v>
      </c>
      <c r="D88" s="31"/>
      <c r="E88" s="31"/>
      <c r="F88" s="31"/>
      <c r="G88" s="31"/>
      <c r="H88" s="31"/>
      <c r="I88" s="31"/>
      <c r="J88" s="31"/>
      <c r="K88" s="31"/>
      <c r="L88" s="31"/>
    </row>
    <row r="89" spans="1:12">
      <c r="A89" s="2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>
      <c r="A90" s="172" t="s">
        <v>1868</v>
      </c>
      <c r="B90" s="1" t="s">
        <v>1216</v>
      </c>
      <c r="C90" s="1">
        <v>30</v>
      </c>
      <c r="D90" s="1">
        <v>1</v>
      </c>
      <c r="E90" s="1" t="s">
        <v>2885</v>
      </c>
      <c r="F90" s="1">
        <v>3</v>
      </c>
      <c r="G90" s="1" t="s">
        <v>1580</v>
      </c>
      <c r="H90" s="1">
        <v>3</v>
      </c>
      <c r="I90" s="1" t="s">
        <v>1550</v>
      </c>
      <c r="J90" s="1">
        <v>3</v>
      </c>
      <c r="K90" s="1" t="s">
        <v>1771</v>
      </c>
      <c r="L90" s="1" t="s">
        <v>1771</v>
      </c>
    </row>
    <row r="91" spans="1:12">
      <c r="A91" s="172"/>
      <c r="B91" s="1" t="s">
        <v>1217</v>
      </c>
      <c r="C91" s="1">
        <v>34</v>
      </c>
      <c r="D91" s="1">
        <v>1</v>
      </c>
      <c r="E91" s="1" t="s">
        <v>2885</v>
      </c>
      <c r="F91" s="1">
        <v>3</v>
      </c>
      <c r="G91" s="1" t="s">
        <v>1580</v>
      </c>
      <c r="H91" s="1">
        <v>3</v>
      </c>
      <c r="I91" s="1" t="s">
        <v>1550</v>
      </c>
      <c r="J91" s="1">
        <v>3</v>
      </c>
      <c r="K91" s="1" t="s">
        <v>1771</v>
      </c>
      <c r="L91" s="1" t="s">
        <v>1771</v>
      </c>
    </row>
    <row r="92" spans="1:12">
      <c r="A92" s="172"/>
      <c r="B92" s="1" t="s">
        <v>1218</v>
      </c>
      <c r="C92" s="1">
        <v>38</v>
      </c>
      <c r="D92" s="1">
        <v>1</v>
      </c>
      <c r="E92" s="1" t="s">
        <v>2885</v>
      </c>
      <c r="F92" s="1">
        <v>3</v>
      </c>
      <c r="G92" s="1" t="s">
        <v>1580</v>
      </c>
      <c r="H92" s="1">
        <v>3</v>
      </c>
      <c r="I92" s="1" t="s">
        <v>1550</v>
      </c>
      <c r="J92" s="1">
        <v>3</v>
      </c>
      <c r="K92" s="1" t="s">
        <v>1771</v>
      </c>
      <c r="L92" s="1" t="s">
        <v>1771</v>
      </c>
    </row>
    <row r="93" spans="1:12">
      <c r="A93" s="172"/>
      <c r="B93" s="1" t="s">
        <v>1219</v>
      </c>
      <c r="C93" s="1">
        <v>42</v>
      </c>
      <c r="D93" s="1">
        <v>1</v>
      </c>
      <c r="E93" s="1" t="s">
        <v>2885</v>
      </c>
      <c r="F93" s="1">
        <v>4</v>
      </c>
      <c r="G93" s="1" t="s">
        <v>1580</v>
      </c>
      <c r="H93" s="1">
        <v>4</v>
      </c>
      <c r="I93" s="1" t="s">
        <v>1550</v>
      </c>
      <c r="J93" s="1">
        <v>4</v>
      </c>
      <c r="K93" s="1" t="s">
        <v>1771</v>
      </c>
      <c r="L93" s="1" t="s">
        <v>1771</v>
      </c>
    </row>
    <row r="94" spans="1:12">
      <c r="A94" s="172"/>
      <c r="B94" s="1" t="s">
        <v>1220</v>
      </c>
      <c r="C94" s="1">
        <v>46</v>
      </c>
      <c r="D94" s="1">
        <v>1</v>
      </c>
      <c r="E94" s="1" t="s">
        <v>2885</v>
      </c>
      <c r="F94" s="1">
        <v>4</v>
      </c>
      <c r="G94" s="1" t="s">
        <v>1580</v>
      </c>
      <c r="H94" s="1">
        <v>4</v>
      </c>
      <c r="I94" s="1" t="s">
        <v>1550</v>
      </c>
      <c r="J94" s="1">
        <v>4</v>
      </c>
      <c r="K94" s="1" t="s">
        <v>1771</v>
      </c>
      <c r="L94" s="1" t="s">
        <v>1771</v>
      </c>
    </row>
    <row r="95" spans="1:12">
      <c r="A95" s="172"/>
      <c r="B95" s="1" t="s">
        <v>1221</v>
      </c>
      <c r="C95" s="1">
        <v>50</v>
      </c>
      <c r="D95" s="1">
        <v>1</v>
      </c>
      <c r="E95" s="1" t="s">
        <v>2885</v>
      </c>
      <c r="F95" s="1">
        <v>5</v>
      </c>
      <c r="G95" s="1" t="s">
        <v>1580</v>
      </c>
      <c r="H95" s="1">
        <v>5</v>
      </c>
      <c r="I95" s="1" t="s">
        <v>1550</v>
      </c>
      <c r="J95" s="1">
        <v>5</v>
      </c>
      <c r="K95" s="1" t="s">
        <v>1771</v>
      </c>
      <c r="L95" s="1" t="s">
        <v>1771</v>
      </c>
    </row>
    <row r="96" spans="1:12">
      <c r="A96" s="172"/>
      <c r="B96" s="1" t="s">
        <v>1222</v>
      </c>
      <c r="C96" s="1">
        <v>54</v>
      </c>
      <c r="D96" s="1">
        <v>1</v>
      </c>
      <c r="E96" s="1" t="s">
        <v>2885</v>
      </c>
      <c r="F96" s="1">
        <v>5</v>
      </c>
      <c r="G96" s="1" t="s">
        <v>1580</v>
      </c>
      <c r="H96" s="1">
        <v>5</v>
      </c>
      <c r="I96" s="1" t="s">
        <v>1550</v>
      </c>
      <c r="J96" s="1">
        <v>5</v>
      </c>
      <c r="K96" s="1" t="s">
        <v>1771</v>
      </c>
      <c r="L96" s="1" t="s">
        <v>1771</v>
      </c>
    </row>
    <row r="97" spans="1:12">
      <c r="A97" s="172"/>
      <c r="B97" s="1" t="s">
        <v>1223</v>
      </c>
      <c r="C97" s="1">
        <v>58</v>
      </c>
      <c r="D97" s="1">
        <v>1</v>
      </c>
      <c r="E97" s="1" t="s">
        <v>2885</v>
      </c>
      <c r="F97" s="1">
        <v>5</v>
      </c>
      <c r="G97" s="1" t="s">
        <v>1580</v>
      </c>
      <c r="H97" s="1">
        <v>5</v>
      </c>
      <c r="I97" s="1" t="s">
        <v>1550</v>
      </c>
      <c r="J97" s="1">
        <v>5</v>
      </c>
      <c r="K97" s="1" t="s">
        <v>1771</v>
      </c>
      <c r="L97" s="1" t="s">
        <v>1771</v>
      </c>
    </row>
    <row r="98" spans="1:12">
      <c r="A98" s="172"/>
      <c r="B98" s="1" t="s">
        <v>1224</v>
      </c>
      <c r="C98" s="1">
        <v>62</v>
      </c>
      <c r="D98" s="1">
        <v>2</v>
      </c>
      <c r="E98" s="1" t="s">
        <v>2886</v>
      </c>
      <c r="F98" s="1">
        <v>6</v>
      </c>
      <c r="G98" s="1" t="s">
        <v>2887</v>
      </c>
      <c r="H98" s="1">
        <v>6</v>
      </c>
      <c r="I98" s="1" t="s">
        <v>2888</v>
      </c>
      <c r="J98" s="1">
        <v>6</v>
      </c>
      <c r="K98" s="1" t="s">
        <v>1550</v>
      </c>
      <c r="L98" s="1">
        <v>3</v>
      </c>
    </row>
    <row r="99" spans="1:12">
      <c r="A99" s="172"/>
      <c r="B99" s="1" t="s">
        <v>1225</v>
      </c>
      <c r="C99" s="1">
        <v>66</v>
      </c>
      <c r="D99" s="1">
        <v>2</v>
      </c>
      <c r="E99" s="1" t="s">
        <v>2886</v>
      </c>
      <c r="F99" s="1">
        <v>6</v>
      </c>
      <c r="G99" s="1" t="s">
        <v>2887</v>
      </c>
      <c r="H99" s="1">
        <v>6</v>
      </c>
      <c r="I99" s="1" t="s">
        <v>2888</v>
      </c>
      <c r="J99" s="1">
        <v>6</v>
      </c>
      <c r="K99" s="1" t="s">
        <v>1550</v>
      </c>
      <c r="L99" s="1">
        <v>3</v>
      </c>
    </row>
    <row r="100" spans="1:12">
      <c r="A100" s="172"/>
      <c r="B100" s="1" t="s">
        <v>1226</v>
      </c>
      <c r="C100" s="1">
        <v>70</v>
      </c>
      <c r="D100" s="1">
        <v>2</v>
      </c>
      <c r="E100" s="1" t="s">
        <v>2886</v>
      </c>
      <c r="F100" s="1">
        <v>6</v>
      </c>
      <c r="G100" s="1" t="s">
        <v>2887</v>
      </c>
      <c r="H100" s="1">
        <v>6</v>
      </c>
      <c r="I100" s="1" t="s">
        <v>2888</v>
      </c>
      <c r="J100" s="1">
        <v>6</v>
      </c>
      <c r="K100" s="1" t="s">
        <v>1550</v>
      </c>
      <c r="L100" s="1">
        <v>3</v>
      </c>
    </row>
    <row r="101" spans="1:12">
      <c r="A101" s="172"/>
      <c r="B101" s="1" t="s">
        <v>1227</v>
      </c>
      <c r="C101" s="1">
        <v>77</v>
      </c>
      <c r="D101" s="1">
        <v>2</v>
      </c>
      <c r="E101" s="1" t="s">
        <v>2886</v>
      </c>
      <c r="F101" s="1">
        <v>7</v>
      </c>
      <c r="G101" s="1" t="s">
        <v>2887</v>
      </c>
      <c r="H101" s="1">
        <v>7</v>
      </c>
      <c r="I101" s="1" t="s">
        <v>2888</v>
      </c>
      <c r="J101" s="1">
        <v>7</v>
      </c>
      <c r="K101" s="1" t="s">
        <v>1550</v>
      </c>
      <c r="L101" s="1">
        <v>4</v>
      </c>
    </row>
    <row r="102" spans="1:12">
      <c r="A102" s="172"/>
      <c r="B102" s="1" t="s">
        <v>1228</v>
      </c>
      <c r="C102" s="1">
        <v>84</v>
      </c>
      <c r="D102" s="1">
        <v>3</v>
      </c>
      <c r="E102" s="1" t="s">
        <v>2886</v>
      </c>
      <c r="F102" s="1">
        <v>8</v>
      </c>
      <c r="G102" s="1" t="s">
        <v>2887</v>
      </c>
      <c r="H102" s="1">
        <v>8</v>
      </c>
      <c r="I102" s="1" t="s">
        <v>1556</v>
      </c>
      <c r="J102" s="1">
        <v>8</v>
      </c>
      <c r="K102" s="1" t="s">
        <v>1771</v>
      </c>
      <c r="L102" s="1" t="s">
        <v>1771</v>
      </c>
    </row>
    <row r="103" spans="1:12">
      <c r="A103" s="172"/>
      <c r="B103" s="1" t="s">
        <v>2889</v>
      </c>
      <c r="C103" s="1">
        <v>50</v>
      </c>
      <c r="D103" s="1">
        <v>2</v>
      </c>
      <c r="E103" s="1" t="s">
        <v>2446</v>
      </c>
      <c r="F103" s="1" t="s">
        <v>1569</v>
      </c>
      <c r="G103" s="1" t="s">
        <v>2885</v>
      </c>
      <c r="H103" s="1">
        <v>5</v>
      </c>
      <c r="I103" s="1" t="s">
        <v>1556</v>
      </c>
      <c r="J103" s="1">
        <v>5</v>
      </c>
      <c r="K103" s="1" t="s">
        <v>1771</v>
      </c>
      <c r="L103" s="1" t="s">
        <v>1771</v>
      </c>
    </row>
    <row r="104" spans="1:12">
      <c r="A104" s="172"/>
      <c r="B104" s="1" t="s">
        <v>1230</v>
      </c>
      <c r="C104" s="1">
        <v>52</v>
      </c>
      <c r="D104" s="1">
        <v>2</v>
      </c>
      <c r="E104" s="1" t="s">
        <v>2446</v>
      </c>
      <c r="F104" s="1" t="s">
        <v>1570</v>
      </c>
      <c r="G104" s="1" t="s">
        <v>2885</v>
      </c>
      <c r="H104" s="1">
        <v>5</v>
      </c>
      <c r="I104" s="1" t="s">
        <v>1553</v>
      </c>
      <c r="J104" s="1">
        <v>5</v>
      </c>
      <c r="K104" s="1" t="s">
        <v>1771</v>
      </c>
      <c r="L104" s="1" t="s">
        <v>1771</v>
      </c>
    </row>
    <row r="105" spans="1:12">
      <c r="A105" s="172"/>
      <c r="B105" s="1" t="s">
        <v>1231</v>
      </c>
      <c r="C105" s="1">
        <v>54</v>
      </c>
      <c r="D105" s="1">
        <v>2</v>
      </c>
      <c r="E105" s="1" t="s">
        <v>2446</v>
      </c>
      <c r="F105" s="1" t="s">
        <v>1571</v>
      </c>
      <c r="G105" s="1" t="s">
        <v>2885</v>
      </c>
      <c r="H105" s="1">
        <v>5</v>
      </c>
      <c r="I105" s="1" t="s">
        <v>1551</v>
      </c>
      <c r="J105" s="1">
        <v>5</v>
      </c>
      <c r="K105" s="1" t="s">
        <v>1771</v>
      </c>
      <c r="L105" s="1" t="s">
        <v>1771</v>
      </c>
    </row>
    <row r="106" spans="1:12">
      <c r="A106" s="172"/>
      <c r="B106" s="1" t="s">
        <v>1232</v>
      </c>
      <c r="C106" s="1">
        <v>56</v>
      </c>
      <c r="D106" s="1">
        <v>2</v>
      </c>
      <c r="E106" s="1" t="s">
        <v>2446</v>
      </c>
      <c r="F106" s="1" t="s">
        <v>1572</v>
      </c>
      <c r="G106" s="1" t="s">
        <v>2885</v>
      </c>
      <c r="H106" s="1">
        <v>5</v>
      </c>
      <c r="I106" s="1" t="s">
        <v>1552</v>
      </c>
      <c r="J106" s="1">
        <v>5</v>
      </c>
      <c r="K106" s="1" t="s">
        <v>1771</v>
      </c>
      <c r="L106" s="1" t="s">
        <v>1771</v>
      </c>
    </row>
    <row r="107" spans="1:12">
      <c r="A107" s="172"/>
      <c r="B107" s="1" t="s">
        <v>1233</v>
      </c>
      <c r="C107" s="1">
        <v>58</v>
      </c>
      <c r="D107" s="1">
        <v>2</v>
      </c>
      <c r="E107" s="1" t="s">
        <v>2446</v>
      </c>
      <c r="F107" s="1" t="s">
        <v>1573</v>
      </c>
      <c r="G107" s="1" t="s">
        <v>2885</v>
      </c>
      <c r="H107" s="1">
        <v>5</v>
      </c>
      <c r="I107" s="1" t="s">
        <v>1555</v>
      </c>
      <c r="J107" s="1">
        <v>5</v>
      </c>
      <c r="K107" s="1" t="s">
        <v>1771</v>
      </c>
      <c r="L107" s="1" t="s">
        <v>1771</v>
      </c>
    </row>
    <row r="108" spans="1:12">
      <c r="A108" s="172"/>
      <c r="B108" s="1" t="s">
        <v>1234</v>
      </c>
      <c r="C108" s="1">
        <v>60</v>
      </c>
      <c r="D108" s="1">
        <v>2</v>
      </c>
      <c r="E108" s="1" t="s">
        <v>2446</v>
      </c>
      <c r="F108" s="1" t="s">
        <v>2468</v>
      </c>
      <c r="G108" s="1" t="s">
        <v>2885</v>
      </c>
      <c r="H108" s="1">
        <v>5</v>
      </c>
      <c r="I108" s="1" t="s">
        <v>1554</v>
      </c>
      <c r="J108" s="1">
        <v>5</v>
      </c>
      <c r="K108" s="1" t="s">
        <v>1771</v>
      </c>
      <c r="L108" s="1" t="s">
        <v>1771</v>
      </c>
    </row>
    <row r="109" spans="1:12">
      <c r="A109" s="172"/>
      <c r="B109" s="1" t="s">
        <v>1235</v>
      </c>
      <c r="C109" s="1">
        <v>62</v>
      </c>
      <c r="D109" s="1">
        <v>2</v>
      </c>
      <c r="E109" s="1" t="s">
        <v>2446</v>
      </c>
      <c r="F109" s="1" t="s">
        <v>1574</v>
      </c>
      <c r="G109" s="1" t="s">
        <v>2885</v>
      </c>
      <c r="H109" s="1">
        <v>5</v>
      </c>
      <c r="I109" s="1" t="s">
        <v>1550</v>
      </c>
      <c r="J109" s="1">
        <v>5</v>
      </c>
      <c r="K109" s="1" t="s">
        <v>1771</v>
      </c>
      <c r="L109" s="1" t="s">
        <v>1771</v>
      </c>
    </row>
    <row r="110" spans="1:12">
      <c r="A110" s="172"/>
      <c r="B110" s="1" t="s">
        <v>1240</v>
      </c>
      <c r="C110" s="1">
        <v>86</v>
      </c>
      <c r="D110" s="1">
        <v>3</v>
      </c>
      <c r="E110" s="1" t="s">
        <v>2885</v>
      </c>
      <c r="F110" s="1">
        <v>10</v>
      </c>
      <c r="G110" s="1" t="s">
        <v>1554</v>
      </c>
      <c r="H110" s="1">
        <v>10</v>
      </c>
      <c r="I110" s="1" t="s">
        <v>2890</v>
      </c>
      <c r="J110" s="1">
        <v>250</v>
      </c>
      <c r="K110" s="1" t="s">
        <v>1550</v>
      </c>
      <c r="L110" s="1">
        <v>4</v>
      </c>
    </row>
    <row r="111" spans="1:12">
      <c r="A111" s="172"/>
      <c r="B111" s="1" t="s">
        <v>1241</v>
      </c>
      <c r="C111" s="1">
        <v>89</v>
      </c>
      <c r="D111" s="1">
        <v>3</v>
      </c>
      <c r="E111" s="1" t="s">
        <v>2885</v>
      </c>
      <c r="F111" s="1">
        <v>11</v>
      </c>
      <c r="G111" s="1" t="s">
        <v>1554</v>
      </c>
      <c r="H111" s="1">
        <v>11</v>
      </c>
      <c r="I111" s="1" t="s">
        <v>2890</v>
      </c>
      <c r="J111" s="1">
        <v>300</v>
      </c>
      <c r="K111" s="1" t="s">
        <v>1550</v>
      </c>
      <c r="L111" s="1">
        <v>5</v>
      </c>
    </row>
    <row r="112" spans="1:12">
      <c r="A112" s="172"/>
      <c r="B112" s="1" t="s">
        <v>1242</v>
      </c>
      <c r="C112" s="1">
        <v>92</v>
      </c>
      <c r="D112" s="1">
        <v>4</v>
      </c>
      <c r="E112" s="1" t="s">
        <v>2885</v>
      </c>
      <c r="F112" s="1">
        <v>12</v>
      </c>
      <c r="G112" s="1" t="s">
        <v>1554</v>
      </c>
      <c r="H112" s="1">
        <v>12</v>
      </c>
      <c r="I112" s="1" t="s">
        <v>2890</v>
      </c>
      <c r="J112" s="1">
        <v>350</v>
      </c>
      <c r="K112" s="1" t="s">
        <v>1550</v>
      </c>
      <c r="L112" s="1">
        <v>5</v>
      </c>
    </row>
    <row r="113" spans="1:12">
      <c r="A113" s="172"/>
      <c r="B113" s="1" t="s">
        <v>2891</v>
      </c>
      <c r="C113" s="1">
        <v>95</v>
      </c>
      <c r="D113" s="1">
        <v>4</v>
      </c>
      <c r="E113" s="1" t="s">
        <v>2885</v>
      </c>
      <c r="F113" s="1">
        <v>13</v>
      </c>
      <c r="G113" s="1" t="s">
        <v>1554</v>
      </c>
      <c r="H113" s="1">
        <v>13</v>
      </c>
      <c r="I113" s="1" t="s">
        <v>2890</v>
      </c>
      <c r="J113" s="1">
        <v>400</v>
      </c>
      <c r="K113" s="1" t="s">
        <v>1550</v>
      </c>
      <c r="L113" s="1">
        <v>6</v>
      </c>
    </row>
    <row r="114" spans="1:12">
      <c r="A114" s="172"/>
      <c r="B114" s="2" t="s">
        <v>2377</v>
      </c>
      <c r="C114" s="2">
        <v>110</v>
      </c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72"/>
      <c r="B115" s="2" t="s">
        <v>2378</v>
      </c>
      <c r="C115" s="2">
        <v>120</v>
      </c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72"/>
      <c r="B116" s="2" t="s">
        <v>2379</v>
      </c>
      <c r="C116" s="2">
        <v>130</v>
      </c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72"/>
      <c r="B117" s="2" t="s">
        <v>1919</v>
      </c>
      <c r="C117" s="2">
        <v>140</v>
      </c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72"/>
      <c r="B118" s="2" t="s">
        <v>1920</v>
      </c>
      <c r="C118" s="2">
        <v>150</v>
      </c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72"/>
      <c r="B119" s="2" t="s">
        <v>1921</v>
      </c>
      <c r="C119" s="2">
        <v>160</v>
      </c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3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pans="1:12">
      <c r="A121" s="172" t="s">
        <v>1869</v>
      </c>
      <c r="B121" s="1" t="s">
        <v>1263</v>
      </c>
      <c r="C121" s="1">
        <v>32</v>
      </c>
      <c r="D121" s="1">
        <v>1</v>
      </c>
      <c r="E121" s="1" t="s">
        <v>2904</v>
      </c>
      <c r="F121" s="1">
        <v>3</v>
      </c>
      <c r="G121" s="1" t="s">
        <v>1580</v>
      </c>
      <c r="H121" s="1">
        <v>3</v>
      </c>
      <c r="I121" s="1" t="s">
        <v>1550</v>
      </c>
      <c r="J121" s="1">
        <v>3</v>
      </c>
      <c r="K121" s="1" t="s">
        <v>1771</v>
      </c>
      <c r="L121" s="1" t="s">
        <v>1771</v>
      </c>
    </row>
    <row r="122" spans="1:12">
      <c r="A122" s="172"/>
      <c r="B122" s="1" t="s">
        <v>1264</v>
      </c>
      <c r="C122" s="1">
        <v>38</v>
      </c>
      <c r="D122" s="1">
        <v>1</v>
      </c>
      <c r="E122" s="1" t="s">
        <v>2904</v>
      </c>
      <c r="F122" s="1">
        <v>4</v>
      </c>
      <c r="G122" s="1" t="s">
        <v>1580</v>
      </c>
      <c r="H122" s="1">
        <v>4</v>
      </c>
      <c r="I122" s="1" t="s">
        <v>1550</v>
      </c>
      <c r="J122" s="1">
        <v>4</v>
      </c>
      <c r="K122" s="1" t="s">
        <v>1771</v>
      </c>
      <c r="L122" s="1" t="s">
        <v>1771</v>
      </c>
    </row>
    <row r="123" spans="1:12">
      <c r="A123" s="172"/>
      <c r="B123" s="1" t="s">
        <v>1265</v>
      </c>
      <c r="C123" s="1">
        <v>44</v>
      </c>
      <c r="D123" s="1">
        <v>1</v>
      </c>
      <c r="E123" s="1" t="s">
        <v>2904</v>
      </c>
      <c r="F123" s="1">
        <v>4</v>
      </c>
      <c r="G123" s="1" t="s">
        <v>1580</v>
      </c>
      <c r="H123" s="1">
        <v>4</v>
      </c>
      <c r="I123" s="1" t="s">
        <v>1550</v>
      </c>
      <c r="J123" s="1">
        <v>4</v>
      </c>
      <c r="K123" s="1" t="s">
        <v>1771</v>
      </c>
      <c r="L123" s="1" t="s">
        <v>1771</v>
      </c>
    </row>
    <row r="124" spans="1:12">
      <c r="A124" s="172"/>
      <c r="B124" s="1" t="s">
        <v>1266</v>
      </c>
      <c r="C124" s="1">
        <v>50</v>
      </c>
      <c r="D124" s="1">
        <v>1</v>
      </c>
      <c r="E124" s="1" t="s">
        <v>2904</v>
      </c>
      <c r="F124" s="1">
        <v>5</v>
      </c>
      <c r="G124" s="1" t="s">
        <v>1580</v>
      </c>
      <c r="H124" s="1">
        <v>5</v>
      </c>
      <c r="I124" s="1" t="s">
        <v>1550</v>
      </c>
      <c r="J124" s="1">
        <v>4</v>
      </c>
      <c r="K124" s="1" t="s">
        <v>1771</v>
      </c>
      <c r="L124" s="1" t="s">
        <v>1771</v>
      </c>
    </row>
    <row r="125" spans="1:12">
      <c r="A125" s="172"/>
      <c r="B125" s="1" t="s">
        <v>2905</v>
      </c>
      <c r="C125" s="1">
        <v>50</v>
      </c>
      <c r="D125" s="1">
        <v>1</v>
      </c>
      <c r="E125" s="1" t="s">
        <v>2904</v>
      </c>
      <c r="F125" s="1">
        <v>5</v>
      </c>
      <c r="G125" s="1" t="s">
        <v>1580</v>
      </c>
      <c r="H125" s="1">
        <v>5</v>
      </c>
      <c r="I125" s="1" t="s">
        <v>1550</v>
      </c>
      <c r="J125" s="1">
        <v>4</v>
      </c>
      <c r="K125" s="1" t="s">
        <v>1771</v>
      </c>
      <c r="L125" s="1" t="s">
        <v>1771</v>
      </c>
    </row>
    <row r="126" spans="1:12">
      <c r="A126" s="172"/>
      <c r="B126" s="1" t="s">
        <v>1268</v>
      </c>
      <c r="C126" s="1">
        <v>52</v>
      </c>
      <c r="D126" s="1">
        <v>1</v>
      </c>
      <c r="E126" s="1" t="s">
        <v>2904</v>
      </c>
      <c r="F126" s="1">
        <v>5</v>
      </c>
      <c r="G126" s="1" t="s">
        <v>1580</v>
      </c>
      <c r="H126" s="1">
        <v>5</v>
      </c>
      <c r="I126" s="1" t="s">
        <v>1550</v>
      </c>
      <c r="J126" s="1">
        <v>5</v>
      </c>
      <c r="K126" s="1" t="s">
        <v>1771</v>
      </c>
      <c r="L126" s="1" t="s">
        <v>1771</v>
      </c>
    </row>
    <row r="127" spans="1:12">
      <c r="A127" s="172"/>
      <c r="B127" s="1" t="s">
        <v>1269</v>
      </c>
      <c r="C127" s="1">
        <v>54</v>
      </c>
      <c r="D127" s="1">
        <v>2</v>
      </c>
      <c r="E127" s="1" t="s">
        <v>2904</v>
      </c>
      <c r="F127" s="1">
        <v>5</v>
      </c>
      <c r="G127" s="1" t="s">
        <v>2906</v>
      </c>
      <c r="H127" s="1">
        <v>5</v>
      </c>
      <c r="I127" s="1" t="s">
        <v>1580</v>
      </c>
      <c r="J127" s="1" t="s">
        <v>1569</v>
      </c>
      <c r="K127" s="1" t="s">
        <v>1771</v>
      </c>
      <c r="L127" s="1" t="s">
        <v>1771</v>
      </c>
    </row>
    <row r="128" spans="1:12">
      <c r="A128" s="172"/>
      <c r="B128" s="1" t="s">
        <v>1270</v>
      </c>
      <c r="C128" s="1">
        <v>56</v>
      </c>
      <c r="D128" s="1">
        <v>2</v>
      </c>
      <c r="E128" s="1" t="s">
        <v>2904</v>
      </c>
      <c r="F128" s="1">
        <v>5</v>
      </c>
      <c r="G128" s="1" t="s">
        <v>1553</v>
      </c>
      <c r="H128" s="1">
        <v>5</v>
      </c>
      <c r="I128" s="1" t="s">
        <v>1580</v>
      </c>
      <c r="J128" s="1" t="s">
        <v>1570</v>
      </c>
      <c r="K128" s="1" t="s">
        <v>1771</v>
      </c>
      <c r="L128" s="1" t="s">
        <v>1771</v>
      </c>
    </row>
    <row r="129" spans="1:12">
      <c r="A129" s="172"/>
      <c r="B129" s="1" t="s">
        <v>1271</v>
      </c>
      <c r="C129" s="1">
        <v>56</v>
      </c>
      <c r="D129" s="1">
        <v>2</v>
      </c>
      <c r="E129" s="1" t="s">
        <v>2904</v>
      </c>
      <c r="F129" s="1">
        <v>5</v>
      </c>
      <c r="G129" s="1" t="s">
        <v>1551</v>
      </c>
      <c r="H129" s="1">
        <v>5</v>
      </c>
      <c r="I129" s="1" t="s">
        <v>1580</v>
      </c>
      <c r="J129" s="1" t="s">
        <v>1571</v>
      </c>
      <c r="K129" s="1" t="s">
        <v>1771</v>
      </c>
      <c r="L129" s="1" t="s">
        <v>1771</v>
      </c>
    </row>
    <row r="130" spans="1:12">
      <c r="A130" s="172"/>
      <c r="B130" s="1" t="s">
        <v>1272</v>
      </c>
      <c r="C130" s="1">
        <v>58</v>
      </c>
      <c r="D130" s="1">
        <v>2</v>
      </c>
      <c r="E130" s="1" t="s">
        <v>2904</v>
      </c>
      <c r="F130" s="1">
        <v>5</v>
      </c>
      <c r="G130" s="1" t="s">
        <v>1552</v>
      </c>
      <c r="H130" s="1">
        <v>5</v>
      </c>
      <c r="I130" s="1" t="s">
        <v>1580</v>
      </c>
      <c r="J130" s="1" t="s">
        <v>1572</v>
      </c>
      <c r="K130" s="1" t="s">
        <v>1771</v>
      </c>
      <c r="L130" s="1" t="s">
        <v>1771</v>
      </c>
    </row>
    <row r="131" spans="1:12">
      <c r="A131" s="172"/>
      <c r="B131" s="1" t="s">
        <v>1273</v>
      </c>
      <c r="C131" s="1">
        <v>60</v>
      </c>
      <c r="D131" s="1">
        <v>2</v>
      </c>
      <c r="E131" s="1" t="s">
        <v>2904</v>
      </c>
      <c r="F131" s="1">
        <v>5</v>
      </c>
      <c r="G131" s="1" t="s">
        <v>1555</v>
      </c>
      <c r="H131" s="1">
        <v>5</v>
      </c>
      <c r="I131" s="1" t="s">
        <v>1580</v>
      </c>
      <c r="J131" s="1" t="s">
        <v>1573</v>
      </c>
      <c r="K131" s="1" t="s">
        <v>1771</v>
      </c>
      <c r="L131" s="1" t="s">
        <v>1771</v>
      </c>
    </row>
    <row r="132" spans="1:12">
      <c r="A132" s="172"/>
      <c r="B132" s="1" t="s">
        <v>1274</v>
      </c>
      <c r="C132" s="1">
        <v>60</v>
      </c>
      <c r="D132" s="1">
        <v>2</v>
      </c>
      <c r="E132" s="1" t="s">
        <v>2904</v>
      </c>
      <c r="F132" s="1">
        <v>5</v>
      </c>
      <c r="G132" s="1" t="s">
        <v>1554</v>
      </c>
      <c r="H132" s="1">
        <v>5</v>
      </c>
      <c r="I132" s="1" t="s">
        <v>1580</v>
      </c>
      <c r="J132" s="1" t="s">
        <v>2468</v>
      </c>
      <c r="K132" s="1" t="s">
        <v>1771</v>
      </c>
      <c r="L132" s="1" t="s">
        <v>1771</v>
      </c>
    </row>
    <row r="133" spans="1:12">
      <c r="A133" s="172"/>
      <c r="B133" s="1" t="s">
        <v>1275</v>
      </c>
      <c r="C133" s="1">
        <v>62</v>
      </c>
      <c r="D133" s="1">
        <v>2</v>
      </c>
      <c r="E133" s="1" t="s">
        <v>2907</v>
      </c>
      <c r="F133" s="1">
        <v>6</v>
      </c>
      <c r="G133" s="1" t="s">
        <v>2908</v>
      </c>
      <c r="H133" s="1">
        <v>6</v>
      </c>
      <c r="I133" s="1" t="s">
        <v>2904</v>
      </c>
      <c r="J133" s="1">
        <v>6</v>
      </c>
      <c r="K133" s="1" t="s">
        <v>1550</v>
      </c>
      <c r="L133" s="1">
        <v>3</v>
      </c>
    </row>
    <row r="134" spans="1:12">
      <c r="A134" s="172"/>
      <c r="B134" s="1" t="s">
        <v>1276</v>
      </c>
      <c r="C134" s="1">
        <v>66</v>
      </c>
      <c r="D134" s="1">
        <v>2</v>
      </c>
      <c r="E134" s="1" t="s">
        <v>2907</v>
      </c>
      <c r="F134" s="1">
        <v>6</v>
      </c>
      <c r="G134" s="1" t="s">
        <v>2908</v>
      </c>
      <c r="H134" s="1">
        <v>6</v>
      </c>
      <c r="I134" s="1" t="s">
        <v>2904</v>
      </c>
      <c r="J134" s="1">
        <v>6</v>
      </c>
      <c r="K134" s="1" t="s">
        <v>1550</v>
      </c>
      <c r="L134" s="1">
        <v>3</v>
      </c>
    </row>
    <row r="135" spans="1:12">
      <c r="A135" s="172"/>
      <c r="B135" s="1" t="s">
        <v>1277</v>
      </c>
      <c r="C135" s="1">
        <v>70</v>
      </c>
      <c r="D135" s="1">
        <v>2</v>
      </c>
      <c r="E135" s="1" t="s">
        <v>2907</v>
      </c>
      <c r="F135" s="1">
        <v>6</v>
      </c>
      <c r="G135" s="1" t="s">
        <v>2908</v>
      </c>
      <c r="H135" s="1">
        <v>6</v>
      </c>
      <c r="I135" s="1" t="s">
        <v>2904</v>
      </c>
      <c r="J135" s="1">
        <v>6</v>
      </c>
      <c r="K135" s="1" t="s">
        <v>1550</v>
      </c>
      <c r="L135" s="1">
        <v>4</v>
      </c>
    </row>
    <row r="136" spans="1:12">
      <c r="A136" s="172"/>
      <c r="B136" s="1" t="s">
        <v>1278</v>
      </c>
      <c r="C136" s="1">
        <v>74</v>
      </c>
      <c r="D136" s="1">
        <v>2</v>
      </c>
      <c r="E136" s="1" t="s">
        <v>2907</v>
      </c>
      <c r="F136" s="1">
        <v>7</v>
      </c>
      <c r="G136" s="1" t="s">
        <v>2908</v>
      </c>
      <c r="H136" s="1">
        <v>7</v>
      </c>
      <c r="I136" s="1" t="s">
        <v>2904</v>
      </c>
      <c r="J136" s="1">
        <v>7</v>
      </c>
      <c r="K136" s="1" t="s">
        <v>1550</v>
      </c>
      <c r="L136" s="1">
        <v>4</v>
      </c>
    </row>
    <row r="137" spans="1:12">
      <c r="A137" s="172"/>
      <c r="B137" s="1" t="s">
        <v>1279</v>
      </c>
      <c r="C137" s="1">
        <v>78</v>
      </c>
      <c r="D137" s="1">
        <v>2</v>
      </c>
      <c r="E137" s="1" t="s">
        <v>2907</v>
      </c>
      <c r="F137" s="1">
        <v>7</v>
      </c>
      <c r="G137" s="1" t="s">
        <v>2908</v>
      </c>
      <c r="H137" s="1">
        <v>7</v>
      </c>
      <c r="I137" s="1" t="s">
        <v>2904</v>
      </c>
      <c r="J137" s="1">
        <v>7</v>
      </c>
      <c r="K137" s="1" t="s">
        <v>1550</v>
      </c>
      <c r="L137" s="1">
        <v>4</v>
      </c>
    </row>
    <row r="138" spans="1:12">
      <c r="A138" s="172"/>
      <c r="B138" s="1" t="s">
        <v>2909</v>
      </c>
      <c r="C138" s="1">
        <v>84</v>
      </c>
      <c r="D138" s="1">
        <v>3</v>
      </c>
      <c r="E138" s="1" t="s">
        <v>2907</v>
      </c>
      <c r="F138" s="1">
        <v>8</v>
      </c>
      <c r="G138" s="1" t="s">
        <v>2908</v>
      </c>
      <c r="H138" s="1">
        <v>8</v>
      </c>
      <c r="I138" s="1" t="s">
        <v>2904</v>
      </c>
      <c r="J138" s="1">
        <v>8</v>
      </c>
      <c r="K138" s="1" t="s">
        <v>1550</v>
      </c>
      <c r="L138" s="1">
        <v>4</v>
      </c>
    </row>
    <row r="139" spans="1:12">
      <c r="A139" s="172"/>
      <c r="B139" s="1" t="s">
        <v>1284</v>
      </c>
      <c r="C139" s="1">
        <v>90</v>
      </c>
      <c r="D139" s="1">
        <v>3</v>
      </c>
      <c r="E139" s="1" t="s">
        <v>2907</v>
      </c>
      <c r="F139" s="1">
        <v>9</v>
      </c>
      <c r="G139" s="1" t="s">
        <v>2908</v>
      </c>
      <c r="H139" s="1">
        <v>9</v>
      </c>
      <c r="I139" s="1" t="s">
        <v>2903</v>
      </c>
      <c r="J139" s="1">
        <v>9</v>
      </c>
      <c r="K139" s="1" t="s">
        <v>1550</v>
      </c>
      <c r="L139" s="1">
        <v>4</v>
      </c>
    </row>
    <row r="140" spans="1:12">
      <c r="A140" s="172"/>
      <c r="B140" s="1" t="s">
        <v>1285</v>
      </c>
      <c r="C140" s="1">
        <v>95</v>
      </c>
      <c r="D140" s="1">
        <v>4</v>
      </c>
      <c r="E140" s="1" t="s">
        <v>2907</v>
      </c>
      <c r="F140" s="1">
        <v>10</v>
      </c>
      <c r="G140" s="1" t="s">
        <v>2908</v>
      </c>
      <c r="H140" s="1">
        <v>10</v>
      </c>
      <c r="I140" s="1" t="s">
        <v>2903</v>
      </c>
      <c r="J140" s="1">
        <v>110</v>
      </c>
      <c r="K140" s="1" t="s">
        <v>1550</v>
      </c>
      <c r="L140" s="1">
        <v>5</v>
      </c>
    </row>
    <row r="141" spans="1:12">
      <c r="A141" s="172"/>
      <c r="B141" s="2" t="s">
        <v>2384</v>
      </c>
      <c r="C141" s="2">
        <v>110</v>
      </c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72"/>
      <c r="B142" s="2" t="s">
        <v>2385</v>
      </c>
      <c r="C142" s="2">
        <v>120</v>
      </c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72"/>
      <c r="B143" s="2" t="s">
        <v>2386</v>
      </c>
      <c r="C143" s="2">
        <v>130</v>
      </c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72"/>
      <c r="B144" s="2" t="s">
        <v>1928</v>
      </c>
      <c r="C144" s="2">
        <v>140</v>
      </c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72"/>
      <c r="B145" s="2" t="s">
        <v>1929</v>
      </c>
      <c r="C145" s="2">
        <v>150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72"/>
      <c r="B146" s="2"/>
      <c r="C146" s="2">
        <v>160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2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>
      <c r="A148" s="172" t="s">
        <v>2452</v>
      </c>
      <c r="B148" s="1" t="s">
        <v>1309</v>
      </c>
      <c r="C148" s="1">
        <v>30</v>
      </c>
      <c r="D148" s="1">
        <v>1</v>
      </c>
      <c r="E148" s="1" t="s">
        <v>2898</v>
      </c>
      <c r="F148" s="1">
        <v>3</v>
      </c>
      <c r="G148" s="1" t="s">
        <v>1580</v>
      </c>
      <c r="H148" s="1">
        <v>3</v>
      </c>
      <c r="I148" s="1" t="s">
        <v>1550</v>
      </c>
      <c r="J148" s="1">
        <v>3</v>
      </c>
      <c r="K148" s="1" t="s">
        <v>1771</v>
      </c>
      <c r="L148" s="1" t="s">
        <v>1771</v>
      </c>
    </row>
    <row r="149" spans="1:12">
      <c r="A149" s="172"/>
      <c r="B149" s="1" t="s">
        <v>1310</v>
      </c>
      <c r="C149" s="1">
        <v>34</v>
      </c>
      <c r="D149" s="1">
        <v>1</v>
      </c>
      <c r="E149" s="1" t="s">
        <v>2898</v>
      </c>
      <c r="F149" s="1">
        <v>3</v>
      </c>
      <c r="G149" s="1" t="s">
        <v>1580</v>
      </c>
      <c r="H149" s="1">
        <v>3</v>
      </c>
      <c r="I149" s="1" t="s">
        <v>1550</v>
      </c>
      <c r="J149" s="1">
        <v>3</v>
      </c>
      <c r="K149" s="1" t="s">
        <v>1771</v>
      </c>
      <c r="L149" s="1" t="s">
        <v>1771</v>
      </c>
    </row>
    <row r="150" spans="1:12">
      <c r="A150" s="172"/>
      <c r="B150" s="1" t="s">
        <v>1311</v>
      </c>
      <c r="C150" s="1">
        <v>38</v>
      </c>
      <c r="D150" s="1">
        <v>1</v>
      </c>
      <c r="E150" s="1" t="s">
        <v>2898</v>
      </c>
      <c r="F150" s="1">
        <v>3</v>
      </c>
      <c r="G150" s="1" t="s">
        <v>1580</v>
      </c>
      <c r="H150" s="1">
        <v>3</v>
      </c>
      <c r="I150" s="1" t="s">
        <v>1550</v>
      </c>
      <c r="J150" s="1">
        <v>3</v>
      </c>
      <c r="K150" s="1" t="s">
        <v>1771</v>
      </c>
      <c r="L150" s="1" t="s">
        <v>1771</v>
      </c>
    </row>
    <row r="151" spans="1:12">
      <c r="A151" s="172"/>
      <c r="B151" s="1" t="s">
        <v>1312</v>
      </c>
      <c r="C151" s="1">
        <v>42</v>
      </c>
      <c r="D151" s="1">
        <v>1</v>
      </c>
      <c r="E151" s="1" t="s">
        <v>2898</v>
      </c>
      <c r="F151" s="1">
        <v>4</v>
      </c>
      <c r="G151" s="1" t="s">
        <v>1580</v>
      </c>
      <c r="H151" s="1">
        <v>4</v>
      </c>
      <c r="I151" s="1" t="s">
        <v>1550</v>
      </c>
      <c r="J151" s="1">
        <v>4</v>
      </c>
      <c r="K151" s="1" t="s">
        <v>1771</v>
      </c>
      <c r="L151" s="1" t="s">
        <v>1771</v>
      </c>
    </row>
    <row r="152" spans="1:12">
      <c r="A152" s="172"/>
      <c r="B152" s="1" t="s">
        <v>1313</v>
      </c>
      <c r="C152" s="1">
        <v>46</v>
      </c>
      <c r="D152" s="1">
        <v>1</v>
      </c>
      <c r="E152" s="1" t="s">
        <v>2898</v>
      </c>
      <c r="F152" s="1">
        <v>4</v>
      </c>
      <c r="G152" s="1" t="s">
        <v>1580</v>
      </c>
      <c r="H152" s="1">
        <v>4</v>
      </c>
      <c r="I152" s="1" t="s">
        <v>1550</v>
      </c>
      <c r="J152" s="1">
        <v>4</v>
      </c>
      <c r="K152" s="1" t="s">
        <v>1771</v>
      </c>
      <c r="L152" s="1" t="s">
        <v>1771</v>
      </c>
    </row>
    <row r="153" spans="1:12">
      <c r="A153" s="172"/>
      <c r="B153" s="1" t="s">
        <v>1314</v>
      </c>
      <c r="C153" s="1">
        <v>50</v>
      </c>
      <c r="D153" s="1">
        <v>1</v>
      </c>
      <c r="E153" s="1" t="s">
        <v>2898</v>
      </c>
      <c r="F153" s="1">
        <v>5</v>
      </c>
      <c r="G153" s="1" t="s">
        <v>1580</v>
      </c>
      <c r="H153" s="1">
        <v>5</v>
      </c>
      <c r="I153" s="1" t="s">
        <v>1550</v>
      </c>
      <c r="J153" s="1">
        <v>5</v>
      </c>
      <c r="K153" s="1" t="s">
        <v>1771</v>
      </c>
      <c r="L153" s="1" t="s">
        <v>1771</v>
      </c>
    </row>
    <row r="154" spans="1:12">
      <c r="A154" s="172"/>
      <c r="B154" s="1" t="s">
        <v>1315</v>
      </c>
      <c r="C154" s="1">
        <v>50</v>
      </c>
      <c r="D154" s="1">
        <v>1</v>
      </c>
      <c r="E154" s="1" t="s">
        <v>2898</v>
      </c>
      <c r="F154" s="1">
        <v>5</v>
      </c>
      <c r="G154" s="1" t="s">
        <v>1580</v>
      </c>
      <c r="H154" s="1">
        <v>5</v>
      </c>
      <c r="I154" s="1" t="s">
        <v>1550</v>
      </c>
      <c r="J154" s="1">
        <v>5</v>
      </c>
      <c r="K154" s="1" t="s">
        <v>1771</v>
      </c>
      <c r="L154" s="1" t="s">
        <v>1771</v>
      </c>
    </row>
    <row r="155" spans="1:12">
      <c r="A155" s="172"/>
      <c r="B155" s="1" t="s">
        <v>1316</v>
      </c>
      <c r="C155" s="1">
        <v>52</v>
      </c>
      <c r="D155" s="1">
        <v>1</v>
      </c>
      <c r="E155" s="1" t="s">
        <v>2898</v>
      </c>
      <c r="F155" s="1">
        <v>5</v>
      </c>
      <c r="G155" s="1" t="s">
        <v>1580</v>
      </c>
      <c r="H155" s="1">
        <v>5</v>
      </c>
      <c r="I155" s="1" t="s">
        <v>1550</v>
      </c>
      <c r="J155" s="1">
        <v>5</v>
      </c>
      <c r="K155" s="1" t="s">
        <v>1771</v>
      </c>
      <c r="L155" s="1" t="s">
        <v>1771</v>
      </c>
    </row>
    <row r="156" spans="1:12">
      <c r="A156" s="172"/>
      <c r="B156" s="1" t="s">
        <v>1317</v>
      </c>
      <c r="C156" s="1">
        <v>54</v>
      </c>
      <c r="D156" s="1">
        <v>2</v>
      </c>
      <c r="E156" s="1" t="s">
        <v>1580</v>
      </c>
      <c r="F156" s="1">
        <v>5</v>
      </c>
      <c r="G156" s="1" t="s">
        <v>2899</v>
      </c>
      <c r="H156" s="1">
        <v>5</v>
      </c>
      <c r="I156" s="1" t="s">
        <v>1556</v>
      </c>
      <c r="J156" s="1">
        <v>5</v>
      </c>
      <c r="K156" s="1" t="s">
        <v>1771</v>
      </c>
      <c r="L156" s="1" t="s">
        <v>1771</v>
      </c>
    </row>
    <row r="157" spans="1:12">
      <c r="A157" s="172"/>
      <c r="B157" s="1" t="s">
        <v>1318</v>
      </c>
      <c r="C157" s="1">
        <v>54</v>
      </c>
      <c r="D157" s="1">
        <v>2</v>
      </c>
      <c r="E157" s="1" t="s">
        <v>1580</v>
      </c>
      <c r="F157" s="1">
        <v>5</v>
      </c>
      <c r="G157" s="1" t="s">
        <v>2899</v>
      </c>
      <c r="H157" s="1">
        <v>5</v>
      </c>
      <c r="I157" s="1" t="s">
        <v>1553</v>
      </c>
      <c r="J157" s="1">
        <v>5</v>
      </c>
      <c r="K157" s="1" t="s">
        <v>1771</v>
      </c>
      <c r="L157" s="1" t="s">
        <v>1771</v>
      </c>
    </row>
    <row r="158" spans="1:12">
      <c r="A158" s="172"/>
      <c r="B158" s="1" t="s">
        <v>1319</v>
      </c>
      <c r="C158" s="1">
        <v>56</v>
      </c>
      <c r="D158" s="1">
        <v>2</v>
      </c>
      <c r="E158" s="1" t="s">
        <v>1580</v>
      </c>
      <c r="F158" s="1">
        <v>5</v>
      </c>
      <c r="G158" s="1" t="s">
        <v>2899</v>
      </c>
      <c r="H158" s="1">
        <v>5</v>
      </c>
      <c r="I158" s="1" t="s">
        <v>1551</v>
      </c>
      <c r="J158" s="1">
        <v>5</v>
      </c>
      <c r="K158" s="1" t="s">
        <v>1771</v>
      </c>
      <c r="L158" s="1" t="s">
        <v>1771</v>
      </c>
    </row>
    <row r="159" spans="1:12">
      <c r="A159" s="172"/>
      <c r="B159" s="1" t="s">
        <v>1320</v>
      </c>
      <c r="C159" s="1">
        <v>58</v>
      </c>
      <c r="D159" s="1">
        <v>2</v>
      </c>
      <c r="E159" s="1" t="s">
        <v>1580</v>
      </c>
      <c r="F159" s="1">
        <v>5</v>
      </c>
      <c r="G159" s="1" t="s">
        <v>2899</v>
      </c>
      <c r="H159" s="1">
        <v>5</v>
      </c>
      <c r="I159" s="1" t="s">
        <v>1552</v>
      </c>
      <c r="J159" s="1">
        <v>5</v>
      </c>
      <c r="K159" s="1" t="s">
        <v>1771</v>
      </c>
      <c r="L159" s="1" t="s">
        <v>1771</v>
      </c>
    </row>
    <row r="160" spans="1:12">
      <c r="A160" s="172"/>
      <c r="B160" s="1" t="s">
        <v>1321</v>
      </c>
      <c r="C160" s="1">
        <v>58</v>
      </c>
      <c r="D160" s="1">
        <v>2</v>
      </c>
      <c r="E160" s="1" t="s">
        <v>1580</v>
      </c>
      <c r="F160" s="1">
        <v>5</v>
      </c>
      <c r="G160" s="1" t="s">
        <v>2899</v>
      </c>
      <c r="H160" s="1">
        <v>5</v>
      </c>
      <c r="I160" s="1" t="s">
        <v>1555</v>
      </c>
      <c r="J160" s="1">
        <v>5</v>
      </c>
      <c r="K160" s="1" t="s">
        <v>1771</v>
      </c>
      <c r="L160" s="1" t="s">
        <v>1771</v>
      </c>
    </row>
    <row r="161" spans="1:12">
      <c r="A161" s="172"/>
      <c r="B161" s="1" t="s">
        <v>2900</v>
      </c>
      <c r="C161" s="1">
        <v>60</v>
      </c>
      <c r="D161" s="1">
        <v>2</v>
      </c>
      <c r="E161" s="1" t="s">
        <v>1580</v>
      </c>
      <c r="F161" s="1">
        <v>5</v>
      </c>
      <c r="G161" s="1" t="s">
        <v>2899</v>
      </c>
      <c r="H161" s="1">
        <v>5</v>
      </c>
      <c r="I161" s="1" t="s">
        <v>1554</v>
      </c>
      <c r="J161" s="1">
        <v>5</v>
      </c>
      <c r="K161" s="1" t="s">
        <v>1771</v>
      </c>
      <c r="L161" s="1" t="s">
        <v>1771</v>
      </c>
    </row>
    <row r="162" spans="1:12">
      <c r="A162" s="172"/>
      <c r="B162" s="1" t="s">
        <v>1323</v>
      </c>
      <c r="C162" s="1">
        <v>62</v>
      </c>
      <c r="D162" s="1">
        <v>2</v>
      </c>
      <c r="E162" s="1" t="s">
        <v>2901</v>
      </c>
      <c r="F162" s="1">
        <v>6</v>
      </c>
      <c r="G162" s="1" t="s">
        <v>2902</v>
      </c>
      <c r="H162" s="1">
        <v>6</v>
      </c>
      <c r="I162" s="1" t="s">
        <v>1550</v>
      </c>
      <c r="J162" s="1">
        <v>3</v>
      </c>
      <c r="K162" s="1" t="s">
        <v>1771</v>
      </c>
      <c r="L162" s="1" t="s">
        <v>1771</v>
      </c>
    </row>
    <row r="163" spans="1:12">
      <c r="A163" s="172"/>
      <c r="B163" s="1" t="s">
        <v>1324</v>
      </c>
      <c r="C163" s="1">
        <v>62</v>
      </c>
      <c r="D163" s="1">
        <v>2</v>
      </c>
      <c r="E163" s="1" t="s">
        <v>2901</v>
      </c>
      <c r="F163" s="1">
        <v>6</v>
      </c>
      <c r="G163" s="1" t="s">
        <v>2902</v>
      </c>
      <c r="H163" s="1">
        <v>6</v>
      </c>
      <c r="I163" s="1" t="s">
        <v>1550</v>
      </c>
      <c r="J163" s="1">
        <v>3</v>
      </c>
      <c r="K163" s="1" t="s">
        <v>1771</v>
      </c>
      <c r="L163" s="1" t="s">
        <v>1771</v>
      </c>
    </row>
    <row r="164" spans="1:12">
      <c r="A164" s="172"/>
      <c r="B164" s="1" t="s">
        <v>1325</v>
      </c>
      <c r="C164" s="1">
        <v>66</v>
      </c>
      <c r="D164" s="1">
        <v>2</v>
      </c>
      <c r="E164" s="1" t="s">
        <v>2901</v>
      </c>
      <c r="F164" s="1">
        <v>6</v>
      </c>
      <c r="G164" s="1" t="s">
        <v>2902</v>
      </c>
      <c r="H164" s="1">
        <v>6</v>
      </c>
      <c r="I164" s="1" t="s">
        <v>1550</v>
      </c>
      <c r="J164" s="1">
        <v>3</v>
      </c>
      <c r="K164" s="1" t="s">
        <v>1771</v>
      </c>
      <c r="L164" s="1" t="s">
        <v>1771</v>
      </c>
    </row>
    <row r="165" spans="1:12">
      <c r="A165" s="172"/>
      <c r="B165" s="1" t="s">
        <v>1326</v>
      </c>
      <c r="C165" s="1">
        <v>70</v>
      </c>
      <c r="D165" s="1">
        <v>2</v>
      </c>
      <c r="E165" s="1" t="s">
        <v>2901</v>
      </c>
      <c r="F165" s="1">
        <v>7</v>
      </c>
      <c r="G165" s="1" t="s">
        <v>2902</v>
      </c>
      <c r="H165" s="1">
        <v>7</v>
      </c>
      <c r="I165" s="1" t="s">
        <v>1550</v>
      </c>
      <c r="J165" s="1">
        <v>4</v>
      </c>
      <c r="K165" s="1" t="s">
        <v>1771</v>
      </c>
      <c r="L165" s="1" t="s">
        <v>1771</v>
      </c>
    </row>
    <row r="166" spans="1:12">
      <c r="A166" s="172"/>
      <c r="B166" s="1" t="s">
        <v>1327</v>
      </c>
      <c r="C166" s="1">
        <v>77</v>
      </c>
      <c r="D166" s="1">
        <v>2</v>
      </c>
      <c r="E166" s="1" t="s">
        <v>2901</v>
      </c>
      <c r="F166" s="1">
        <v>7</v>
      </c>
      <c r="G166" s="1" t="s">
        <v>2902</v>
      </c>
      <c r="H166" s="1">
        <v>7</v>
      </c>
      <c r="I166" s="1" t="s">
        <v>1550</v>
      </c>
      <c r="J166" s="1">
        <v>4</v>
      </c>
      <c r="K166" s="1" t="s">
        <v>1771</v>
      </c>
      <c r="L166" s="1" t="s">
        <v>1771</v>
      </c>
    </row>
    <row r="167" spans="1:12">
      <c r="A167" s="172"/>
      <c r="B167" s="1" t="s">
        <v>1328</v>
      </c>
      <c r="C167" s="1">
        <v>84</v>
      </c>
      <c r="D167" s="1">
        <v>3</v>
      </c>
      <c r="E167" s="1" t="s">
        <v>2901</v>
      </c>
      <c r="F167" s="1">
        <v>8</v>
      </c>
      <c r="G167" s="1" t="s">
        <v>2902</v>
      </c>
      <c r="H167" s="1">
        <v>8</v>
      </c>
      <c r="I167" s="1" t="s">
        <v>1550</v>
      </c>
      <c r="J167" s="1">
        <v>4</v>
      </c>
      <c r="K167" s="1" t="s">
        <v>1771</v>
      </c>
      <c r="L167" s="1" t="s">
        <v>1771</v>
      </c>
    </row>
    <row r="168" spans="1:12">
      <c r="A168" s="172"/>
      <c r="B168" s="1" t="s">
        <v>1332</v>
      </c>
      <c r="C168" s="1">
        <v>90</v>
      </c>
      <c r="D168" s="1">
        <v>3</v>
      </c>
      <c r="E168" s="1" t="s">
        <v>2901</v>
      </c>
      <c r="F168" s="1">
        <v>9</v>
      </c>
      <c r="G168" s="1" t="s">
        <v>2902</v>
      </c>
      <c r="H168" s="1">
        <v>9</v>
      </c>
      <c r="I168" s="1" t="s">
        <v>2903</v>
      </c>
      <c r="J168" s="1">
        <v>9</v>
      </c>
      <c r="K168" s="1" t="s">
        <v>1550</v>
      </c>
      <c r="L168" s="1">
        <v>4</v>
      </c>
    </row>
    <row r="169" spans="1:12">
      <c r="A169" s="172"/>
      <c r="B169" s="1" t="s">
        <v>1333</v>
      </c>
      <c r="C169" s="1">
        <v>95</v>
      </c>
      <c r="D169" s="1">
        <v>4</v>
      </c>
      <c r="E169" s="1" t="s">
        <v>2901</v>
      </c>
      <c r="F169" s="1">
        <v>10</v>
      </c>
      <c r="G169" s="1" t="s">
        <v>2902</v>
      </c>
      <c r="H169" s="1">
        <v>10</v>
      </c>
      <c r="I169" s="1" t="s">
        <v>2903</v>
      </c>
      <c r="J169" s="1">
        <v>10</v>
      </c>
      <c r="K169" s="1" t="s">
        <v>1550</v>
      </c>
      <c r="L169" s="1">
        <v>5</v>
      </c>
    </row>
    <row r="170" spans="1:12">
      <c r="A170" s="172"/>
      <c r="B170" s="2" t="s">
        <v>2381</v>
      </c>
      <c r="C170" s="2">
        <v>110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72"/>
      <c r="B171" s="2" t="s">
        <v>2382</v>
      </c>
      <c r="C171" s="2">
        <v>120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72"/>
      <c r="B172" s="2" t="s">
        <v>2383</v>
      </c>
      <c r="C172" s="2">
        <v>130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72"/>
      <c r="B173" s="2" t="s">
        <v>1925</v>
      </c>
      <c r="C173" s="2">
        <v>140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72"/>
      <c r="B174" s="2" t="s">
        <v>1926</v>
      </c>
      <c r="C174" s="2">
        <v>150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72"/>
      <c r="B175" s="2" t="s">
        <v>1927</v>
      </c>
      <c r="C175" s="2">
        <v>160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3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>
      <c r="A177" s="172" t="s">
        <v>2453</v>
      </c>
      <c r="B177" s="1" t="s">
        <v>1353</v>
      </c>
      <c r="C177" s="1">
        <v>30</v>
      </c>
      <c r="D177" s="1">
        <v>1</v>
      </c>
      <c r="E177" s="1" t="s">
        <v>2892</v>
      </c>
      <c r="F177" s="1">
        <v>3</v>
      </c>
      <c r="G177" s="1" t="s">
        <v>1580</v>
      </c>
      <c r="H177" s="1">
        <v>3</v>
      </c>
      <c r="I177" s="1" t="s">
        <v>1550</v>
      </c>
      <c r="J177" s="1">
        <v>3</v>
      </c>
      <c r="K177" s="1" t="s">
        <v>1771</v>
      </c>
      <c r="L177" s="1" t="s">
        <v>1771</v>
      </c>
    </row>
    <row r="178" spans="1:12">
      <c r="A178" s="172"/>
      <c r="B178" s="1" t="s">
        <v>1354</v>
      </c>
      <c r="C178" s="1">
        <v>34</v>
      </c>
      <c r="D178" s="1">
        <v>1</v>
      </c>
      <c r="E178" s="1" t="s">
        <v>2892</v>
      </c>
      <c r="F178" s="1">
        <v>3</v>
      </c>
      <c r="G178" s="1" t="s">
        <v>1580</v>
      </c>
      <c r="H178" s="1">
        <v>3</v>
      </c>
      <c r="I178" s="1" t="s">
        <v>1550</v>
      </c>
      <c r="J178" s="1">
        <v>3</v>
      </c>
      <c r="K178" s="1" t="s">
        <v>1771</v>
      </c>
      <c r="L178" s="1" t="s">
        <v>1771</v>
      </c>
    </row>
    <row r="179" spans="1:12">
      <c r="A179" s="172"/>
      <c r="B179" s="1" t="s">
        <v>1355</v>
      </c>
      <c r="C179" s="1">
        <v>38</v>
      </c>
      <c r="D179" s="1">
        <v>1</v>
      </c>
      <c r="E179" s="1" t="s">
        <v>2892</v>
      </c>
      <c r="F179" s="1">
        <v>3</v>
      </c>
      <c r="G179" s="1" t="s">
        <v>1580</v>
      </c>
      <c r="H179" s="1">
        <v>3</v>
      </c>
      <c r="I179" s="1" t="s">
        <v>1550</v>
      </c>
      <c r="J179" s="1">
        <v>3</v>
      </c>
      <c r="K179" s="1" t="s">
        <v>1771</v>
      </c>
      <c r="L179" s="1" t="s">
        <v>1771</v>
      </c>
    </row>
    <row r="180" spans="1:12">
      <c r="A180" s="172"/>
      <c r="B180" s="1" t="s">
        <v>1356</v>
      </c>
      <c r="C180" s="1">
        <v>42</v>
      </c>
      <c r="D180" s="1">
        <v>1</v>
      </c>
      <c r="E180" s="1" t="s">
        <v>2892</v>
      </c>
      <c r="F180" s="1">
        <v>4</v>
      </c>
      <c r="G180" s="1" t="s">
        <v>1580</v>
      </c>
      <c r="H180" s="1">
        <v>4</v>
      </c>
      <c r="I180" s="1" t="s">
        <v>1550</v>
      </c>
      <c r="J180" s="1">
        <v>4</v>
      </c>
      <c r="K180" s="1" t="s">
        <v>1771</v>
      </c>
      <c r="L180" s="1" t="s">
        <v>1771</v>
      </c>
    </row>
    <row r="181" spans="1:12">
      <c r="A181" s="172"/>
      <c r="B181" s="1" t="s">
        <v>1357</v>
      </c>
      <c r="C181" s="1">
        <v>46</v>
      </c>
      <c r="D181" s="1">
        <v>1</v>
      </c>
      <c r="E181" s="1" t="s">
        <v>2892</v>
      </c>
      <c r="F181" s="1">
        <v>4</v>
      </c>
      <c r="G181" s="1" t="s">
        <v>1580</v>
      </c>
      <c r="H181" s="1">
        <v>4</v>
      </c>
      <c r="I181" s="1" t="s">
        <v>1550</v>
      </c>
      <c r="J181" s="1">
        <v>4</v>
      </c>
      <c r="K181" s="1" t="s">
        <v>1771</v>
      </c>
      <c r="L181" s="1" t="s">
        <v>1771</v>
      </c>
    </row>
    <row r="182" spans="1:12">
      <c r="A182" s="172"/>
      <c r="B182" s="1" t="s">
        <v>2893</v>
      </c>
      <c r="C182" s="1">
        <v>50</v>
      </c>
      <c r="D182" s="1">
        <v>1</v>
      </c>
      <c r="E182" s="1" t="s">
        <v>2892</v>
      </c>
      <c r="F182" s="1">
        <v>5</v>
      </c>
      <c r="G182" s="1" t="s">
        <v>1580</v>
      </c>
      <c r="H182" s="1">
        <v>5</v>
      </c>
      <c r="I182" s="1" t="s">
        <v>1550</v>
      </c>
      <c r="J182" s="1">
        <v>5</v>
      </c>
      <c r="K182" s="1" t="s">
        <v>1771</v>
      </c>
      <c r="L182" s="1" t="s">
        <v>1771</v>
      </c>
    </row>
    <row r="183" spans="1:12">
      <c r="A183" s="172"/>
      <c r="B183" s="1" t="s">
        <v>1359</v>
      </c>
      <c r="C183" s="1">
        <v>50</v>
      </c>
      <c r="D183" s="1">
        <v>1</v>
      </c>
      <c r="E183" s="1" t="s">
        <v>2892</v>
      </c>
      <c r="F183" s="1">
        <v>5</v>
      </c>
      <c r="G183" s="1" t="s">
        <v>1580</v>
      </c>
      <c r="H183" s="1">
        <v>5</v>
      </c>
      <c r="I183" s="1" t="s">
        <v>1550</v>
      </c>
      <c r="J183" s="1">
        <v>5</v>
      </c>
      <c r="K183" s="1" t="s">
        <v>1771</v>
      </c>
      <c r="L183" s="1" t="s">
        <v>1771</v>
      </c>
    </row>
    <row r="184" spans="1:12">
      <c r="A184" s="172"/>
      <c r="B184" s="1" t="s">
        <v>1360</v>
      </c>
      <c r="C184" s="1">
        <v>52</v>
      </c>
      <c r="D184" s="1">
        <v>1</v>
      </c>
      <c r="E184" s="1" t="s">
        <v>2892</v>
      </c>
      <c r="F184" s="1">
        <v>5</v>
      </c>
      <c r="G184" s="1" t="s">
        <v>1580</v>
      </c>
      <c r="H184" s="1">
        <v>5</v>
      </c>
      <c r="I184" s="1" t="s">
        <v>1550</v>
      </c>
      <c r="J184" s="1">
        <v>5</v>
      </c>
      <c r="K184" s="1" t="s">
        <v>1771</v>
      </c>
      <c r="L184" s="1" t="s">
        <v>1771</v>
      </c>
    </row>
    <row r="185" spans="1:12">
      <c r="A185" s="172"/>
      <c r="B185" s="1" t="s">
        <v>1361</v>
      </c>
      <c r="C185" s="1">
        <v>54</v>
      </c>
      <c r="D185" s="1">
        <v>2</v>
      </c>
      <c r="E185" s="1" t="s">
        <v>1580</v>
      </c>
      <c r="F185" s="1">
        <v>5</v>
      </c>
      <c r="G185" s="1" t="s">
        <v>2892</v>
      </c>
      <c r="H185" s="1">
        <v>5</v>
      </c>
      <c r="I185" s="1" t="s">
        <v>1556</v>
      </c>
      <c r="J185" s="1">
        <v>5</v>
      </c>
      <c r="K185" s="1" t="s">
        <v>1771</v>
      </c>
      <c r="L185" s="1" t="s">
        <v>1771</v>
      </c>
    </row>
    <row r="186" spans="1:12">
      <c r="A186" s="172"/>
      <c r="B186" s="1" t="s">
        <v>1362</v>
      </c>
      <c r="C186" s="1">
        <v>54</v>
      </c>
      <c r="D186" s="1">
        <v>2</v>
      </c>
      <c r="E186" s="1" t="s">
        <v>1580</v>
      </c>
      <c r="F186" s="1">
        <v>5</v>
      </c>
      <c r="G186" s="1" t="s">
        <v>2892</v>
      </c>
      <c r="H186" s="1">
        <v>5</v>
      </c>
      <c r="I186" s="1" t="s">
        <v>1553</v>
      </c>
      <c r="J186" s="1">
        <v>5</v>
      </c>
      <c r="K186" s="1" t="s">
        <v>1771</v>
      </c>
      <c r="L186" s="1" t="s">
        <v>1771</v>
      </c>
    </row>
    <row r="187" spans="1:12">
      <c r="A187" s="172"/>
      <c r="B187" s="1" t="s">
        <v>1363</v>
      </c>
      <c r="C187" s="1">
        <v>56</v>
      </c>
      <c r="D187" s="1">
        <v>2</v>
      </c>
      <c r="E187" s="1" t="s">
        <v>1580</v>
      </c>
      <c r="F187" s="1">
        <v>5</v>
      </c>
      <c r="G187" s="1" t="s">
        <v>2892</v>
      </c>
      <c r="H187" s="1">
        <v>5</v>
      </c>
      <c r="I187" s="1" t="s">
        <v>1551</v>
      </c>
      <c r="J187" s="1">
        <v>5</v>
      </c>
      <c r="K187" s="1" t="s">
        <v>1771</v>
      </c>
      <c r="L187" s="1" t="s">
        <v>1771</v>
      </c>
    </row>
    <row r="188" spans="1:12">
      <c r="A188" s="172"/>
      <c r="B188" s="1" t="s">
        <v>1365</v>
      </c>
      <c r="C188" s="1">
        <v>58</v>
      </c>
      <c r="D188" s="1">
        <v>2</v>
      </c>
      <c r="E188" s="1" t="s">
        <v>1580</v>
      </c>
      <c r="F188" s="1">
        <v>5</v>
      </c>
      <c r="G188" s="1" t="s">
        <v>2892</v>
      </c>
      <c r="H188" s="1">
        <v>5</v>
      </c>
      <c r="I188" s="1" t="s">
        <v>1552</v>
      </c>
      <c r="J188" s="1">
        <v>5</v>
      </c>
      <c r="K188" s="1" t="s">
        <v>1771</v>
      </c>
      <c r="L188" s="1" t="s">
        <v>1771</v>
      </c>
    </row>
    <row r="189" spans="1:12">
      <c r="A189" s="172"/>
      <c r="B189" s="1" t="s">
        <v>1364</v>
      </c>
      <c r="C189" s="1">
        <v>58</v>
      </c>
      <c r="D189" s="1">
        <v>2</v>
      </c>
      <c r="E189" s="1" t="s">
        <v>1580</v>
      </c>
      <c r="F189" s="1">
        <v>5</v>
      </c>
      <c r="G189" s="1" t="s">
        <v>2892</v>
      </c>
      <c r="H189" s="1">
        <v>5</v>
      </c>
      <c r="I189" s="1" t="s">
        <v>1555</v>
      </c>
      <c r="J189" s="1">
        <v>5</v>
      </c>
      <c r="K189" s="1" t="s">
        <v>1771</v>
      </c>
      <c r="L189" s="1" t="s">
        <v>1771</v>
      </c>
    </row>
    <row r="190" spans="1:12">
      <c r="A190" s="172"/>
      <c r="B190" s="1" t="s">
        <v>2894</v>
      </c>
      <c r="C190" s="1">
        <v>60</v>
      </c>
      <c r="D190" s="1">
        <v>2</v>
      </c>
      <c r="E190" s="1" t="s">
        <v>1580</v>
      </c>
      <c r="F190" s="1">
        <v>5</v>
      </c>
      <c r="G190" s="1" t="s">
        <v>2892</v>
      </c>
      <c r="H190" s="1">
        <v>5</v>
      </c>
      <c r="I190" s="1" t="s">
        <v>1554</v>
      </c>
      <c r="J190" s="1">
        <v>5</v>
      </c>
      <c r="K190" s="1" t="s">
        <v>1771</v>
      </c>
      <c r="L190" s="1" t="s">
        <v>1771</v>
      </c>
    </row>
    <row r="191" spans="1:12">
      <c r="A191" s="172"/>
      <c r="B191" s="1" t="s">
        <v>1367</v>
      </c>
      <c r="C191" s="1">
        <v>62</v>
      </c>
      <c r="D191" s="1">
        <v>2</v>
      </c>
      <c r="E191" s="1" t="s">
        <v>2895</v>
      </c>
      <c r="F191" s="1">
        <v>6</v>
      </c>
      <c r="G191" s="1" t="s">
        <v>2896</v>
      </c>
      <c r="H191" s="1">
        <v>6</v>
      </c>
      <c r="I191" s="1" t="s">
        <v>2897</v>
      </c>
      <c r="J191" s="1">
        <v>6</v>
      </c>
      <c r="K191" s="1" t="s">
        <v>1550</v>
      </c>
      <c r="L191" s="1">
        <v>3</v>
      </c>
    </row>
    <row r="192" spans="1:12">
      <c r="A192" s="172"/>
      <c r="B192" s="1" t="s">
        <v>1368</v>
      </c>
      <c r="C192" s="1">
        <v>62</v>
      </c>
      <c r="D192" s="1">
        <v>2</v>
      </c>
      <c r="E192" s="1" t="s">
        <v>2895</v>
      </c>
      <c r="F192" s="1">
        <v>6</v>
      </c>
      <c r="G192" s="1" t="s">
        <v>2896</v>
      </c>
      <c r="H192" s="1">
        <v>6</v>
      </c>
      <c r="I192" s="1" t="s">
        <v>2897</v>
      </c>
      <c r="J192" s="1">
        <v>6</v>
      </c>
      <c r="K192" s="1" t="s">
        <v>1550</v>
      </c>
      <c r="L192" s="1">
        <v>3</v>
      </c>
    </row>
    <row r="193" spans="1:12">
      <c r="A193" s="172"/>
      <c r="B193" s="1" t="s">
        <v>1369</v>
      </c>
      <c r="C193" s="1">
        <v>66</v>
      </c>
      <c r="D193" s="1">
        <v>2</v>
      </c>
      <c r="E193" s="1" t="s">
        <v>2895</v>
      </c>
      <c r="F193" s="1">
        <v>6</v>
      </c>
      <c r="G193" s="1" t="s">
        <v>2896</v>
      </c>
      <c r="H193" s="1">
        <v>6</v>
      </c>
      <c r="I193" s="1" t="s">
        <v>2897</v>
      </c>
      <c r="J193" s="1">
        <v>6</v>
      </c>
      <c r="K193" s="1" t="s">
        <v>1550</v>
      </c>
      <c r="L193" s="1">
        <v>3</v>
      </c>
    </row>
    <row r="194" spans="1:12">
      <c r="A194" s="172"/>
      <c r="B194" s="1" t="s">
        <v>1370</v>
      </c>
      <c r="C194" s="1">
        <v>70</v>
      </c>
      <c r="D194" s="1">
        <v>2</v>
      </c>
      <c r="E194" s="1" t="s">
        <v>2895</v>
      </c>
      <c r="F194" s="1">
        <v>7</v>
      </c>
      <c r="G194" s="1" t="s">
        <v>2896</v>
      </c>
      <c r="H194" s="1">
        <v>7</v>
      </c>
      <c r="I194" s="1" t="s">
        <v>2897</v>
      </c>
      <c r="J194" s="1">
        <v>7</v>
      </c>
      <c r="K194" s="1" t="s">
        <v>1550</v>
      </c>
      <c r="L194" s="1">
        <v>4</v>
      </c>
    </row>
    <row r="195" spans="1:12">
      <c r="A195" s="172"/>
      <c r="B195" s="1" t="s">
        <v>1371</v>
      </c>
      <c r="C195" s="1">
        <v>77</v>
      </c>
      <c r="D195" s="1">
        <v>2</v>
      </c>
      <c r="E195" s="1" t="s">
        <v>2895</v>
      </c>
      <c r="F195" s="1">
        <v>7</v>
      </c>
      <c r="G195" s="1" t="s">
        <v>2896</v>
      </c>
      <c r="H195" s="1">
        <v>7</v>
      </c>
      <c r="I195" s="1" t="s">
        <v>2897</v>
      </c>
      <c r="J195" s="1">
        <v>7</v>
      </c>
      <c r="K195" s="1" t="s">
        <v>1550</v>
      </c>
      <c r="L195" s="1">
        <v>4</v>
      </c>
    </row>
    <row r="196" spans="1:12">
      <c r="A196" s="172"/>
      <c r="B196" s="1" t="s">
        <v>1372</v>
      </c>
      <c r="C196" s="1">
        <v>84</v>
      </c>
      <c r="D196" s="1">
        <v>3</v>
      </c>
      <c r="E196" s="1" t="s">
        <v>2895</v>
      </c>
      <c r="F196" s="1">
        <v>8</v>
      </c>
      <c r="G196" s="1" t="s">
        <v>2896</v>
      </c>
      <c r="H196" s="1">
        <v>8</v>
      </c>
      <c r="I196" s="1" t="s">
        <v>2897</v>
      </c>
      <c r="J196" s="1">
        <v>8</v>
      </c>
      <c r="K196" s="1" t="s">
        <v>1550</v>
      </c>
      <c r="L196" s="1">
        <v>4</v>
      </c>
    </row>
    <row r="197" spans="1:12">
      <c r="A197" s="172"/>
      <c r="B197" s="1" t="s">
        <v>1376</v>
      </c>
      <c r="C197" s="1">
        <v>90</v>
      </c>
      <c r="D197" s="1">
        <v>3</v>
      </c>
      <c r="E197" s="1" t="s">
        <v>2895</v>
      </c>
      <c r="F197" s="1">
        <v>9</v>
      </c>
      <c r="G197" s="1" t="s">
        <v>2896</v>
      </c>
      <c r="H197" s="1">
        <v>9</v>
      </c>
      <c r="I197" s="1" t="s">
        <v>2897</v>
      </c>
      <c r="J197" s="1">
        <v>9</v>
      </c>
      <c r="K197" s="1" t="s">
        <v>1550</v>
      </c>
      <c r="L197" s="1">
        <v>4</v>
      </c>
    </row>
    <row r="198" spans="1:12">
      <c r="A198" s="172"/>
      <c r="B198" s="1" t="s">
        <v>1377</v>
      </c>
      <c r="C198" s="1">
        <v>95</v>
      </c>
      <c r="D198" s="1">
        <v>4</v>
      </c>
      <c r="E198" s="1" t="s">
        <v>2895</v>
      </c>
      <c r="F198" s="1">
        <v>10</v>
      </c>
      <c r="G198" s="1" t="s">
        <v>2896</v>
      </c>
      <c r="H198" s="1">
        <v>10</v>
      </c>
      <c r="I198" s="1" t="s">
        <v>2897</v>
      </c>
      <c r="J198" s="1">
        <v>10</v>
      </c>
      <c r="K198" s="1" t="s">
        <v>1550</v>
      </c>
      <c r="L198" s="1">
        <v>5</v>
      </c>
    </row>
    <row r="199" spans="1:12">
      <c r="A199" s="172"/>
      <c r="B199" s="2" t="s">
        <v>2400</v>
      </c>
      <c r="C199" s="2">
        <v>110</v>
      </c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72"/>
      <c r="B200" s="2" t="s">
        <v>2401</v>
      </c>
      <c r="C200" s="2">
        <v>120</v>
      </c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72"/>
      <c r="B201" s="2" t="s">
        <v>2380</v>
      </c>
      <c r="C201" s="2">
        <v>130</v>
      </c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72"/>
      <c r="B202" s="2" t="s">
        <v>1922</v>
      </c>
      <c r="C202" s="2">
        <v>140</v>
      </c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72"/>
      <c r="B203" s="2" t="s">
        <v>1923</v>
      </c>
      <c r="C203" s="2">
        <v>150</v>
      </c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72"/>
      <c r="B204" s="2" t="s">
        <v>1924</v>
      </c>
      <c r="C204" s="2">
        <v>160</v>
      </c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2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spans="1:12">
      <c r="A206" s="172" t="s">
        <v>2454</v>
      </c>
      <c r="B206" s="1" t="s">
        <v>1398</v>
      </c>
      <c r="C206" s="1">
        <v>36</v>
      </c>
      <c r="D206" s="1">
        <v>1</v>
      </c>
      <c r="E206" s="1" t="s">
        <v>1550</v>
      </c>
      <c r="F206" s="1">
        <v>3</v>
      </c>
      <c r="G206" s="1" t="s">
        <v>1551</v>
      </c>
      <c r="H206" s="1">
        <v>3</v>
      </c>
      <c r="I206" s="1" t="s">
        <v>1552</v>
      </c>
      <c r="J206" s="1">
        <v>3</v>
      </c>
      <c r="K206" s="1" t="s">
        <v>1771</v>
      </c>
      <c r="L206" s="1" t="s">
        <v>1771</v>
      </c>
    </row>
    <row r="207" spans="1:12">
      <c r="A207" s="172"/>
      <c r="B207" s="1" t="s">
        <v>1399</v>
      </c>
      <c r="C207" s="1">
        <v>64</v>
      </c>
      <c r="D207" s="1">
        <v>2</v>
      </c>
      <c r="E207" s="1" t="s">
        <v>1553</v>
      </c>
      <c r="F207" s="1">
        <v>6</v>
      </c>
      <c r="G207" s="1" t="s">
        <v>1552</v>
      </c>
      <c r="H207" s="1">
        <v>6</v>
      </c>
      <c r="I207" s="1" t="s">
        <v>1551</v>
      </c>
      <c r="J207" s="1">
        <v>6</v>
      </c>
      <c r="K207" s="1" t="s">
        <v>1550</v>
      </c>
      <c r="L207" s="1">
        <v>3</v>
      </c>
    </row>
    <row r="208" spans="1:12">
      <c r="A208" s="172"/>
      <c r="B208" s="1" t="s">
        <v>1400</v>
      </c>
      <c r="C208" s="1">
        <v>75</v>
      </c>
      <c r="D208" s="1">
        <v>2</v>
      </c>
      <c r="E208" s="1" t="s">
        <v>1554</v>
      </c>
      <c r="F208" s="1">
        <v>7</v>
      </c>
      <c r="G208" s="1" t="s">
        <v>1552</v>
      </c>
      <c r="H208" s="1">
        <v>7</v>
      </c>
      <c r="I208" s="1" t="s">
        <v>1552</v>
      </c>
      <c r="J208" s="1">
        <v>7</v>
      </c>
      <c r="K208" s="1" t="s">
        <v>1550</v>
      </c>
      <c r="L208" s="1">
        <v>4</v>
      </c>
    </row>
    <row r="209" spans="1:13">
      <c r="A209" s="172"/>
      <c r="B209" s="1" t="s">
        <v>1404</v>
      </c>
      <c r="C209" s="1">
        <v>85</v>
      </c>
      <c r="D209" s="1">
        <v>3</v>
      </c>
      <c r="E209" s="1" t="s">
        <v>1552</v>
      </c>
      <c r="F209" s="1">
        <v>8</v>
      </c>
      <c r="G209" s="1" t="s">
        <v>1553</v>
      </c>
      <c r="H209" s="1">
        <v>8</v>
      </c>
      <c r="I209" s="1" t="s">
        <v>1551</v>
      </c>
      <c r="J209" s="1">
        <v>8</v>
      </c>
      <c r="K209" s="1" t="s">
        <v>1550</v>
      </c>
      <c r="L209" s="1">
        <v>4</v>
      </c>
    </row>
    <row r="210" spans="1:13">
      <c r="A210" s="172"/>
      <c r="B210" s="1" t="s">
        <v>1405</v>
      </c>
      <c r="C210" s="1">
        <v>90</v>
      </c>
      <c r="D210" s="1">
        <v>3</v>
      </c>
      <c r="E210" s="1" t="s">
        <v>1553</v>
      </c>
      <c r="F210" s="1">
        <v>9</v>
      </c>
      <c r="G210" s="1" t="s">
        <v>1551</v>
      </c>
      <c r="H210" s="1">
        <v>9</v>
      </c>
      <c r="I210" s="1" t="s">
        <v>1552</v>
      </c>
      <c r="J210" s="1">
        <v>9</v>
      </c>
      <c r="K210" s="1" t="s">
        <v>1550</v>
      </c>
      <c r="L210" s="1">
        <v>5</v>
      </c>
    </row>
    <row r="211" spans="1:13">
      <c r="A211" s="172"/>
      <c r="B211" s="1" t="s">
        <v>1406</v>
      </c>
      <c r="C211" s="1">
        <v>95</v>
      </c>
      <c r="D211" s="1">
        <v>4</v>
      </c>
      <c r="E211" s="1" t="s">
        <v>1551</v>
      </c>
      <c r="F211" s="1">
        <v>10</v>
      </c>
      <c r="G211" s="1" t="s">
        <v>1552</v>
      </c>
      <c r="H211" s="1">
        <v>10</v>
      </c>
      <c r="I211" s="1" t="s">
        <v>1553</v>
      </c>
      <c r="J211" s="1">
        <v>10</v>
      </c>
      <c r="K211" s="1" t="s">
        <v>1550</v>
      </c>
      <c r="L211" s="1">
        <v>5</v>
      </c>
    </row>
    <row r="212" spans="1:13">
      <c r="A212" s="172"/>
      <c r="B212" s="2" t="s">
        <v>2403</v>
      </c>
      <c r="C212" s="2">
        <v>110</v>
      </c>
      <c r="D212" s="1"/>
      <c r="E212" s="1"/>
      <c r="F212" s="1"/>
      <c r="G212" s="1"/>
      <c r="H212" s="1"/>
      <c r="I212" s="1"/>
      <c r="J212" s="1"/>
      <c r="K212" s="1"/>
      <c r="L212" s="1"/>
    </row>
    <row r="213" spans="1:13">
      <c r="A213" s="172"/>
      <c r="B213" s="2" t="s">
        <v>2404</v>
      </c>
      <c r="C213" s="2">
        <v>120</v>
      </c>
      <c r="D213" s="1"/>
      <c r="E213" s="1"/>
      <c r="F213" s="1"/>
      <c r="G213" s="1"/>
      <c r="H213" s="1"/>
      <c r="I213" s="1"/>
      <c r="J213" s="1"/>
      <c r="K213" s="1"/>
      <c r="L213" s="1"/>
    </row>
    <row r="214" spans="1:13">
      <c r="A214" s="172"/>
      <c r="B214" s="2" t="s">
        <v>2405</v>
      </c>
      <c r="C214" s="2">
        <v>130</v>
      </c>
      <c r="D214" s="1"/>
      <c r="E214" s="1"/>
      <c r="F214" s="1"/>
      <c r="G214" s="1"/>
      <c r="H214" s="1"/>
      <c r="I214" s="1"/>
      <c r="J214" s="1"/>
      <c r="K214" s="1"/>
      <c r="L214" s="1"/>
    </row>
    <row r="215" spans="1:13">
      <c r="A215" s="172"/>
      <c r="B215" s="2" t="s">
        <v>1871</v>
      </c>
      <c r="C215" s="2">
        <v>140</v>
      </c>
      <c r="D215" s="1"/>
      <c r="E215" s="1"/>
      <c r="F215" s="1"/>
      <c r="G215" s="1"/>
      <c r="H215" s="1"/>
      <c r="I215" s="1"/>
      <c r="J215" s="1"/>
      <c r="K215" s="1"/>
      <c r="L215" s="1"/>
    </row>
    <row r="216" spans="1:13">
      <c r="A216" s="172"/>
      <c r="B216" s="2" t="s">
        <v>1872</v>
      </c>
      <c r="C216" s="2">
        <v>150</v>
      </c>
      <c r="D216" s="1"/>
      <c r="E216" s="1"/>
      <c r="F216" s="1"/>
      <c r="G216" s="1"/>
      <c r="H216" s="1"/>
      <c r="I216" s="1"/>
      <c r="J216" s="1"/>
      <c r="K216" s="1"/>
      <c r="L216" s="1"/>
    </row>
    <row r="217" spans="1:13">
      <c r="A217" s="172"/>
      <c r="B217" s="2"/>
      <c r="C217" s="2">
        <v>160</v>
      </c>
      <c r="D217" s="1"/>
      <c r="E217" s="1"/>
      <c r="F217" s="1"/>
      <c r="G217" s="1"/>
      <c r="H217" s="1"/>
      <c r="I217" s="1"/>
      <c r="J217" s="1"/>
      <c r="K217" s="1"/>
      <c r="L217" s="1"/>
    </row>
    <row r="218" spans="1:13">
      <c r="A218" s="32"/>
      <c r="B218" s="20"/>
      <c r="C218" s="20"/>
      <c r="D218" s="7"/>
      <c r="E218" s="7"/>
      <c r="F218" s="7"/>
      <c r="G218" s="7"/>
      <c r="H218" s="7"/>
      <c r="I218" s="7"/>
      <c r="J218" s="7"/>
      <c r="K218" s="7"/>
      <c r="L218" s="7"/>
    </row>
    <row r="219" spans="1:13">
      <c r="A219" s="172" t="s">
        <v>2455</v>
      </c>
      <c r="B219" s="1" t="s">
        <v>1426</v>
      </c>
      <c r="C219" s="1">
        <v>35</v>
      </c>
      <c r="D219" s="1">
        <v>1</v>
      </c>
      <c r="E219" s="1" t="s">
        <v>1550</v>
      </c>
      <c r="F219" s="1">
        <v>3</v>
      </c>
      <c r="G219" s="1" t="s">
        <v>1555</v>
      </c>
      <c r="H219" s="1">
        <v>3</v>
      </c>
      <c r="I219" s="1" t="s">
        <v>1554</v>
      </c>
      <c r="J219" s="1">
        <v>3</v>
      </c>
      <c r="K219" s="1" t="s">
        <v>1771</v>
      </c>
      <c r="L219" s="1" t="s">
        <v>1771</v>
      </c>
    </row>
    <row r="220" spans="1:13">
      <c r="A220" s="172"/>
      <c r="B220" s="1" t="s">
        <v>1427</v>
      </c>
      <c r="C220" s="1">
        <v>40</v>
      </c>
      <c r="D220" s="1">
        <v>2</v>
      </c>
      <c r="E220" s="1" t="s">
        <v>1550</v>
      </c>
      <c r="F220" s="1">
        <v>4</v>
      </c>
      <c r="G220" s="1" t="s">
        <v>1556</v>
      </c>
      <c r="H220" s="1">
        <v>4</v>
      </c>
      <c r="I220" s="1" t="s">
        <v>1555</v>
      </c>
      <c r="J220" s="1">
        <v>4</v>
      </c>
      <c r="K220" s="1" t="s">
        <v>1771</v>
      </c>
      <c r="L220" s="1" t="s">
        <v>1771</v>
      </c>
    </row>
    <row r="221" spans="1:13">
      <c r="A221" s="172"/>
      <c r="B221" s="1" t="s">
        <v>1428</v>
      </c>
      <c r="C221" s="1">
        <v>45</v>
      </c>
      <c r="D221" s="1">
        <v>1</v>
      </c>
      <c r="E221" s="1" t="s">
        <v>1550</v>
      </c>
      <c r="F221" s="1">
        <v>4</v>
      </c>
      <c r="G221" s="1" t="s">
        <v>1553</v>
      </c>
      <c r="H221" s="1">
        <v>4</v>
      </c>
      <c r="I221" s="1" t="s">
        <v>1552</v>
      </c>
      <c r="J221" s="1">
        <v>5</v>
      </c>
      <c r="K221" s="1" t="s">
        <v>1771</v>
      </c>
      <c r="L221" s="1" t="s">
        <v>1771</v>
      </c>
    </row>
    <row r="222" spans="1:13">
      <c r="A222" s="172"/>
      <c r="B222" s="1" t="s">
        <v>1429</v>
      </c>
      <c r="C222" s="1">
        <v>50</v>
      </c>
      <c r="D222" s="1">
        <v>1</v>
      </c>
      <c r="E222" s="1" t="s">
        <v>1550</v>
      </c>
      <c r="F222" s="1">
        <v>5</v>
      </c>
      <c r="G222" s="1" t="s">
        <v>1553</v>
      </c>
      <c r="H222" s="1">
        <v>5</v>
      </c>
      <c r="I222" s="1" t="s">
        <v>1552</v>
      </c>
      <c r="J222" s="1">
        <v>5</v>
      </c>
      <c r="K222" s="1" t="s">
        <v>1771</v>
      </c>
      <c r="L222" s="1" t="s">
        <v>1771</v>
      </c>
    </row>
    <row r="223" spans="1:13">
      <c r="A223" s="172"/>
      <c r="B223" s="1" t="s">
        <v>1430</v>
      </c>
      <c r="C223" s="1">
        <v>55</v>
      </c>
      <c r="D223" s="1">
        <v>1</v>
      </c>
      <c r="E223" s="1" t="s">
        <v>1550</v>
      </c>
      <c r="F223" s="1">
        <v>5</v>
      </c>
      <c r="G223" s="1" t="s">
        <v>1556</v>
      </c>
      <c r="H223" s="1">
        <v>5</v>
      </c>
      <c r="I223" s="1" t="s">
        <v>1554</v>
      </c>
      <c r="J223" s="1">
        <v>5</v>
      </c>
      <c r="K223" s="1" t="s">
        <v>1771</v>
      </c>
      <c r="L223" s="1" t="s">
        <v>1771</v>
      </c>
      <c r="M223" s="28">
        <v>10</v>
      </c>
    </row>
    <row r="224" spans="1:13">
      <c r="A224" s="172"/>
      <c r="B224" s="1" t="s">
        <v>1431</v>
      </c>
      <c r="C224" s="1">
        <v>65</v>
      </c>
      <c r="D224" s="1">
        <v>2</v>
      </c>
      <c r="E224" s="1" t="s">
        <v>1556</v>
      </c>
      <c r="F224" s="1">
        <v>7</v>
      </c>
      <c r="G224" s="1" t="s">
        <v>1552</v>
      </c>
      <c r="H224" s="1">
        <v>7</v>
      </c>
      <c r="I224" s="1" t="s">
        <v>1555</v>
      </c>
      <c r="J224" s="1">
        <v>7</v>
      </c>
      <c r="K224" s="1" t="s">
        <v>1771</v>
      </c>
      <c r="L224" s="1" t="s">
        <v>1771</v>
      </c>
      <c r="M224" s="28">
        <v>11</v>
      </c>
    </row>
    <row r="225" spans="1:13">
      <c r="A225" s="172"/>
      <c r="B225" s="1" t="s">
        <v>1432</v>
      </c>
      <c r="C225" s="1">
        <v>75</v>
      </c>
      <c r="D225" s="1">
        <v>2</v>
      </c>
      <c r="E225" s="1" t="s">
        <v>1555</v>
      </c>
      <c r="F225" s="1">
        <v>8</v>
      </c>
      <c r="G225" s="1" t="s">
        <v>1554</v>
      </c>
      <c r="H225" s="1">
        <v>8</v>
      </c>
      <c r="I225" s="1" t="s">
        <v>1771</v>
      </c>
      <c r="J225" s="1" t="s">
        <v>1771</v>
      </c>
      <c r="K225" s="1" t="s">
        <v>1771</v>
      </c>
      <c r="L225" s="1" t="s">
        <v>1771</v>
      </c>
    </row>
    <row r="226" spans="1:13">
      <c r="A226" s="172"/>
      <c r="B226" s="1" t="s">
        <v>1433</v>
      </c>
      <c r="C226" s="1">
        <v>85</v>
      </c>
      <c r="D226" s="1">
        <v>3</v>
      </c>
      <c r="E226" s="1" t="s">
        <v>1553</v>
      </c>
      <c r="F226" s="1">
        <v>8</v>
      </c>
      <c r="G226" s="1" t="s">
        <v>1551</v>
      </c>
      <c r="H226" s="1">
        <v>8</v>
      </c>
      <c r="I226" s="1" t="s">
        <v>1554</v>
      </c>
      <c r="J226" s="1">
        <v>8</v>
      </c>
      <c r="K226" s="1" t="s">
        <v>1771</v>
      </c>
      <c r="L226" s="1" t="s">
        <v>1771</v>
      </c>
    </row>
    <row r="227" spans="1:13">
      <c r="A227" s="172"/>
      <c r="B227" s="1" t="s">
        <v>1437</v>
      </c>
      <c r="C227" s="1">
        <v>88</v>
      </c>
      <c r="D227" s="1">
        <v>3</v>
      </c>
      <c r="E227" s="1" t="s">
        <v>1552</v>
      </c>
      <c r="F227" s="1">
        <v>9</v>
      </c>
      <c r="G227" s="1" t="s">
        <v>1553</v>
      </c>
      <c r="H227" s="1">
        <v>8</v>
      </c>
      <c r="I227" s="1" t="s">
        <v>1554</v>
      </c>
      <c r="J227" s="1">
        <v>8</v>
      </c>
      <c r="K227" s="1" t="s">
        <v>1550</v>
      </c>
      <c r="L227" s="1">
        <v>4</v>
      </c>
    </row>
    <row r="228" spans="1:13">
      <c r="A228" s="172"/>
      <c r="B228" s="1" t="s">
        <v>1438</v>
      </c>
      <c r="C228" s="1">
        <v>92</v>
      </c>
      <c r="D228" s="1">
        <v>3</v>
      </c>
      <c r="E228" s="1" t="s">
        <v>1553</v>
      </c>
      <c r="F228" s="1">
        <v>10</v>
      </c>
      <c r="G228" s="1" t="s">
        <v>1554</v>
      </c>
      <c r="H228" s="1">
        <v>9</v>
      </c>
      <c r="I228" s="1" t="s">
        <v>1552</v>
      </c>
      <c r="J228" s="1">
        <v>9</v>
      </c>
      <c r="K228" s="1" t="s">
        <v>1550</v>
      </c>
      <c r="L228" s="1">
        <v>5</v>
      </c>
    </row>
    <row r="229" spans="1:13">
      <c r="A229" s="172"/>
      <c r="B229" s="1" t="s">
        <v>1439</v>
      </c>
      <c r="C229" s="1">
        <v>95</v>
      </c>
      <c r="D229" s="1">
        <v>4</v>
      </c>
      <c r="E229" s="1" t="s">
        <v>1554</v>
      </c>
      <c r="F229" s="1">
        <v>11</v>
      </c>
      <c r="G229" s="1" t="s">
        <v>1552</v>
      </c>
      <c r="H229" s="1">
        <v>10</v>
      </c>
      <c r="I229" s="1" t="s">
        <v>1553</v>
      </c>
      <c r="J229" s="1">
        <v>10</v>
      </c>
      <c r="K229" s="1" t="s">
        <v>1550</v>
      </c>
      <c r="L229" s="1">
        <v>5</v>
      </c>
    </row>
    <row r="230" spans="1:13">
      <c r="A230" s="172"/>
      <c r="B230" s="2" t="s">
        <v>2406</v>
      </c>
      <c r="C230" s="2">
        <v>110</v>
      </c>
      <c r="D230" s="1"/>
      <c r="E230" s="1"/>
      <c r="F230" s="1"/>
      <c r="G230" s="1"/>
      <c r="H230" s="1"/>
      <c r="I230" s="1"/>
      <c r="J230" s="1"/>
      <c r="K230" s="1"/>
      <c r="L230" s="1"/>
    </row>
    <row r="231" spans="1:13">
      <c r="A231" s="172"/>
      <c r="B231" s="2" t="s">
        <v>2407</v>
      </c>
      <c r="C231" s="2">
        <v>120</v>
      </c>
      <c r="D231" s="1"/>
      <c r="E231" s="1"/>
      <c r="F231" s="1"/>
      <c r="G231" s="1"/>
      <c r="H231" s="1"/>
      <c r="I231" s="1"/>
      <c r="J231" s="1"/>
      <c r="K231" s="1"/>
      <c r="L231" s="1"/>
    </row>
    <row r="232" spans="1:13">
      <c r="A232" s="172"/>
      <c r="B232" s="2" t="s">
        <v>2408</v>
      </c>
      <c r="C232" s="2">
        <v>130</v>
      </c>
      <c r="D232" s="1"/>
      <c r="E232" s="1"/>
      <c r="F232" s="1"/>
      <c r="G232" s="1"/>
      <c r="H232" s="1"/>
      <c r="I232" s="1"/>
      <c r="J232" s="1"/>
      <c r="K232" s="1"/>
      <c r="L232" s="1"/>
    </row>
    <row r="233" spans="1:13">
      <c r="A233" s="172"/>
      <c r="B233" s="2" t="s">
        <v>1873</v>
      </c>
      <c r="C233" s="2">
        <v>140</v>
      </c>
      <c r="D233" s="1"/>
      <c r="E233" s="1"/>
      <c r="F233" s="1"/>
      <c r="G233" s="1"/>
      <c r="H233" s="1"/>
      <c r="I233" s="1"/>
      <c r="J233" s="1"/>
      <c r="K233" s="1"/>
      <c r="L233" s="1"/>
    </row>
    <row r="234" spans="1:13">
      <c r="A234" s="172"/>
      <c r="B234" s="2" t="s">
        <v>1874</v>
      </c>
      <c r="C234" s="2">
        <v>150</v>
      </c>
      <c r="D234" s="1"/>
      <c r="E234" s="1"/>
      <c r="F234" s="1"/>
      <c r="G234" s="1"/>
      <c r="H234" s="1"/>
      <c r="I234" s="1"/>
      <c r="J234" s="1"/>
      <c r="K234" s="1"/>
      <c r="L234" s="1"/>
    </row>
    <row r="235" spans="1:13">
      <c r="A235" s="172"/>
      <c r="B235" s="2"/>
      <c r="C235" s="2">
        <v>160</v>
      </c>
      <c r="D235" s="1"/>
      <c r="E235" s="1"/>
      <c r="F235" s="1"/>
      <c r="G235" s="1"/>
      <c r="H235" s="1"/>
      <c r="I235" s="1"/>
      <c r="J235" s="1"/>
      <c r="K235" s="1"/>
      <c r="L235" s="1"/>
    </row>
    <row r="236" spans="1:13">
      <c r="A236" s="2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spans="1:13">
      <c r="A237" s="172" t="s">
        <v>2456</v>
      </c>
      <c r="B237" s="1" t="s">
        <v>1460</v>
      </c>
      <c r="C237" s="1">
        <v>50</v>
      </c>
      <c r="D237" s="1">
        <v>1</v>
      </c>
      <c r="E237" s="1" t="s">
        <v>1576</v>
      </c>
      <c r="F237" s="1">
        <v>30</v>
      </c>
      <c r="G237" s="1" t="s">
        <v>1577</v>
      </c>
      <c r="H237" s="1">
        <v>10</v>
      </c>
      <c r="I237" s="1" t="s">
        <v>1771</v>
      </c>
      <c r="J237" s="1" t="s">
        <v>1771</v>
      </c>
      <c r="K237" s="1" t="s">
        <v>1771</v>
      </c>
      <c r="L237" s="1" t="s">
        <v>1771</v>
      </c>
    </row>
    <row r="238" spans="1:13">
      <c r="A238" s="172"/>
      <c r="B238" s="1" t="s">
        <v>1461</v>
      </c>
      <c r="C238" s="1">
        <v>70</v>
      </c>
      <c r="D238" s="1">
        <v>2</v>
      </c>
      <c r="E238" s="1" t="s">
        <v>1576</v>
      </c>
      <c r="F238" s="1">
        <v>50</v>
      </c>
      <c r="G238" s="1" t="s">
        <v>1577</v>
      </c>
      <c r="H238" s="1">
        <v>20</v>
      </c>
      <c r="I238" s="1" t="s">
        <v>1771</v>
      </c>
      <c r="J238" s="1" t="s">
        <v>1771</v>
      </c>
      <c r="K238" s="1" t="s">
        <v>1771</v>
      </c>
      <c r="L238" s="1" t="s">
        <v>1771</v>
      </c>
    </row>
    <row r="239" spans="1:13">
      <c r="A239" s="172"/>
      <c r="B239" s="1" t="s">
        <v>1462</v>
      </c>
      <c r="C239" s="1">
        <v>70</v>
      </c>
      <c r="D239" s="1">
        <v>2</v>
      </c>
      <c r="E239" s="1" t="s">
        <v>1576</v>
      </c>
      <c r="F239" s="1">
        <v>50</v>
      </c>
      <c r="G239" s="1" t="s">
        <v>1577</v>
      </c>
      <c r="H239" s="1">
        <v>20</v>
      </c>
      <c r="I239" s="1" t="s">
        <v>1771</v>
      </c>
      <c r="J239" s="1" t="s">
        <v>1771</v>
      </c>
      <c r="K239" s="1" t="s">
        <v>1771</v>
      </c>
      <c r="L239" s="1" t="s">
        <v>1771</v>
      </c>
      <c r="M239" s="28">
        <v>12</v>
      </c>
    </row>
    <row r="240" spans="1:13">
      <c r="A240" s="172"/>
      <c r="B240" s="1" t="s">
        <v>1466</v>
      </c>
      <c r="C240" s="1">
        <v>85</v>
      </c>
      <c r="D240" s="1">
        <v>3</v>
      </c>
      <c r="E240" s="1" t="s">
        <v>1578</v>
      </c>
      <c r="F240" s="1">
        <v>35</v>
      </c>
      <c r="G240" s="1" t="s">
        <v>1579</v>
      </c>
      <c r="H240" s="1">
        <v>25</v>
      </c>
      <c r="I240" s="1" t="s">
        <v>1553</v>
      </c>
      <c r="J240" s="1">
        <v>8</v>
      </c>
      <c r="K240" s="1" t="s">
        <v>1550</v>
      </c>
      <c r="L240" s="1">
        <v>4</v>
      </c>
    </row>
    <row r="241" spans="1:12">
      <c r="A241" s="172"/>
      <c r="B241" s="1" t="s">
        <v>1467</v>
      </c>
      <c r="C241" s="1">
        <v>90</v>
      </c>
      <c r="D241" s="1">
        <v>3</v>
      </c>
      <c r="E241" s="1" t="s">
        <v>1578</v>
      </c>
      <c r="F241" s="1">
        <v>40</v>
      </c>
      <c r="G241" s="1" t="s">
        <v>1579</v>
      </c>
      <c r="H241" s="1">
        <v>30</v>
      </c>
      <c r="I241" s="1" t="s">
        <v>1553</v>
      </c>
      <c r="J241" s="1">
        <v>9</v>
      </c>
      <c r="K241" s="1" t="s">
        <v>1550</v>
      </c>
      <c r="L241" s="1">
        <v>5</v>
      </c>
    </row>
    <row r="242" spans="1:12">
      <c r="A242" s="172"/>
      <c r="B242" s="1" t="s">
        <v>1468</v>
      </c>
      <c r="C242" s="1">
        <v>95</v>
      </c>
      <c r="D242" s="1">
        <v>4</v>
      </c>
      <c r="E242" s="1" t="s">
        <v>1578</v>
      </c>
      <c r="F242" s="1">
        <v>45</v>
      </c>
      <c r="G242" s="1" t="s">
        <v>1579</v>
      </c>
      <c r="H242" s="1">
        <v>35</v>
      </c>
      <c r="I242" s="1" t="s">
        <v>1553</v>
      </c>
      <c r="J242" s="1">
        <v>10</v>
      </c>
      <c r="K242" s="1" t="s">
        <v>1550</v>
      </c>
      <c r="L242" s="1">
        <v>5</v>
      </c>
    </row>
    <row r="243" spans="1:12">
      <c r="A243" s="172"/>
      <c r="B243" s="2" t="s">
        <v>2409</v>
      </c>
      <c r="C243" s="2">
        <v>110</v>
      </c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72"/>
      <c r="B244" s="2" t="s">
        <v>2410</v>
      </c>
      <c r="C244" s="2">
        <v>120</v>
      </c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72"/>
      <c r="B245" s="2" t="s">
        <v>2411</v>
      </c>
      <c r="C245" s="2">
        <v>130</v>
      </c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72"/>
      <c r="B246" s="2" t="s">
        <v>1875</v>
      </c>
      <c r="C246" s="2">
        <v>140</v>
      </c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72"/>
      <c r="B247" s="2" t="s">
        <v>1876</v>
      </c>
      <c r="C247" s="2">
        <v>150</v>
      </c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72"/>
      <c r="B248" s="2" t="s">
        <v>1877</v>
      </c>
      <c r="C248" s="2">
        <v>160</v>
      </c>
      <c r="D248" s="31"/>
      <c r="E248" s="31"/>
      <c r="F248" s="31"/>
      <c r="G248" s="31"/>
      <c r="H248" s="31"/>
      <c r="I248" s="31"/>
      <c r="J248" s="31"/>
      <c r="K248" s="31"/>
      <c r="L248" s="31"/>
    </row>
    <row r="249" spans="1:12">
      <c r="A249" s="2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1:12">
      <c r="A250" s="172" t="s">
        <v>2457</v>
      </c>
      <c r="B250" s="1" t="s">
        <v>1489</v>
      </c>
      <c r="C250" s="1">
        <v>54</v>
      </c>
      <c r="D250" s="1">
        <v>1</v>
      </c>
      <c r="E250" s="1" t="s">
        <v>1557</v>
      </c>
      <c r="F250" s="1">
        <v>40</v>
      </c>
      <c r="G250" s="1" t="s">
        <v>1771</v>
      </c>
      <c r="H250" s="1" t="s">
        <v>1771</v>
      </c>
      <c r="I250" s="1" t="s">
        <v>1771</v>
      </c>
      <c r="J250" s="1" t="s">
        <v>1771</v>
      </c>
      <c r="K250" s="1" t="s">
        <v>1771</v>
      </c>
      <c r="L250" s="1" t="s">
        <v>1771</v>
      </c>
    </row>
    <row r="251" spans="1:12">
      <c r="A251" s="172"/>
      <c r="B251" s="1" t="s">
        <v>1490</v>
      </c>
      <c r="C251" s="1">
        <v>56</v>
      </c>
      <c r="D251" s="1">
        <v>1</v>
      </c>
      <c r="E251" s="1" t="s">
        <v>1558</v>
      </c>
      <c r="F251" s="1">
        <v>40</v>
      </c>
      <c r="G251" s="1" t="s">
        <v>1771</v>
      </c>
      <c r="H251" s="1" t="s">
        <v>1771</v>
      </c>
      <c r="I251" s="1" t="s">
        <v>1771</v>
      </c>
      <c r="J251" s="1" t="s">
        <v>1771</v>
      </c>
      <c r="K251" s="1" t="s">
        <v>1771</v>
      </c>
      <c r="L251" s="1" t="s">
        <v>1771</v>
      </c>
    </row>
    <row r="252" spans="1:12">
      <c r="A252" s="172"/>
      <c r="B252" s="1" t="s">
        <v>1491</v>
      </c>
      <c r="C252" s="1">
        <v>58</v>
      </c>
      <c r="D252" s="1">
        <v>1</v>
      </c>
      <c r="E252" s="1" t="s">
        <v>1559</v>
      </c>
      <c r="F252" s="1">
        <v>40</v>
      </c>
      <c r="G252" s="1" t="s">
        <v>1771</v>
      </c>
      <c r="H252" s="1" t="s">
        <v>1771</v>
      </c>
      <c r="I252" s="1" t="s">
        <v>1771</v>
      </c>
      <c r="J252" s="1" t="s">
        <v>1771</v>
      </c>
      <c r="K252" s="1" t="s">
        <v>1771</v>
      </c>
      <c r="L252" s="1" t="s">
        <v>1771</v>
      </c>
    </row>
    <row r="253" spans="1:12">
      <c r="A253" s="172"/>
      <c r="B253" s="1" t="s">
        <v>1492</v>
      </c>
      <c r="C253" s="1">
        <v>60</v>
      </c>
      <c r="D253" s="1">
        <v>1</v>
      </c>
      <c r="E253" s="1" t="s">
        <v>1560</v>
      </c>
      <c r="F253" s="1">
        <v>40</v>
      </c>
      <c r="G253" s="1" t="s">
        <v>1771</v>
      </c>
      <c r="H253" s="1" t="s">
        <v>1771</v>
      </c>
      <c r="I253" s="1" t="s">
        <v>1771</v>
      </c>
      <c r="J253" s="1" t="s">
        <v>1771</v>
      </c>
      <c r="K253" s="1" t="s">
        <v>1771</v>
      </c>
      <c r="L253" s="1" t="s">
        <v>1771</v>
      </c>
    </row>
    <row r="254" spans="1:12">
      <c r="A254" s="172"/>
      <c r="B254" s="1" t="s">
        <v>1493</v>
      </c>
      <c r="C254" s="1">
        <v>62</v>
      </c>
      <c r="D254" s="1">
        <v>1</v>
      </c>
      <c r="E254" s="1" t="s">
        <v>1561</v>
      </c>
      <c r="F254" s="1">
        <v>40</v>
      </c>
      <c r="G254" s="1" t="s">
        <v>1771</v>
      </c>
      <c r="H254" s="1" t="s">
        <v>1771</v>
      </c>
      <c r="I254" s="1" t="s">
        <v>1771</v>
      </c>
      <c r="J254" s="1" t="s">
        <v>1771</v>
      </c>
      <c r="K254" s="1" t="s">
        <v>1771</v>
      </c>
      <c r="L254" s="1" t="s">
        <v>1771</v>
      </c>
    </row>
    <row r="255" spans="1:12">
      <c r="A255" s="172"/>
      <c r="B255" s="1" t="s">
        <v>1494</v>
      </c>
      <c r="C255" s="1">
        <v>64</v>
      </c>
      <c r="D255" s="1">
        <v>1</v>
      </c>
      <c r="E255" s="1" t="s">
        <v>2467</v>
      </c>
      <c r="F255" s="1">
        <v>40</v>
      </c>
      <c r="G255" s="1" t="s">
        <v>1771</v>
      </c>
      <c r="H255" s="1" t="s">
        <v>1771</v>
      </c>
      <c r="I255" s="1" t="s">
        <v>1771</v>
      </c>
      <c r="J255" s="1" t="s">
        <v>1771</v>
      </c>
      <c r="K255" s="1" t="s">
        <v>1771</v>
      </c>
      <c r="L255" s="1" t="s">
        <v>1771</v>
      </c>
    </row>
    <row r="256" spans="1:12">
      <c r="A256" s="172"/>
      <c r="B256" s="1" t="s">
        <v>1495</v>
      </c>
      <c r="C256" s="1">
        <v>66</v>
      </c>
      <c r="D256" s="1">
        <v>1</v>
      </c>
      <c r="E256" s="1" t="s">
        <v>1562</v>
      </c>
      <c r="F256" s="1">
        <v>40</v>
      </c>
      <c r="G256" s="1" t="s">
        <v>1771</v>
      </c>
      <c r="H256" s="1" t="s">
        <v>1771</v>
      </c>
      <c r="I256" s="1" t="s">
        <v>1771</v>
      </c>
      <c r="J256" s="1" t="s">
        <v>1771</v>
      </c>
      <c r="K256" s="1" t="s">
        <v>1771</v>
      </c>
      <c r="L256" s="1" t="s">
        <v>1771</v>
      </c>
    </row>
    <row r="257" spans="1:13">
      <c r="A257" s="172"/>
      <c r="B257" s="1" t="s">
        <v>1499</v>
      </c>
      <c r="C257" s="1">
        <v>85</v>
      </c>
      <c r="D257" s="1">
        <v>3</v>
      </c>
      <c r="E257" s="1" t="s">
        <v>1580</v>
      </c>
      <c r="F257" s="1">
        <v>7</v>
      </c>
      <c r="G257" s="1" t="s">
        <v>1581</v>
      </c>
      <c r="H257" s="1">
        <v>9</v>
      </c>
      <c r="I257" s="1" t="s">
        <v>1582</v>
      </c>
      <c r="J257" s="1">
        <v>8</v>
      </c>
      <c r="K257" s="1" t="s">
        <v>1550</v>
      </c>
      <c r="L257" s="1">
        <v>4</v>
      </c>
    </row>
    <row r="258" spans="1:13">
      <c r="A258" s="172"/>
      <c r="B258" s="1" t="s">
        <v>1500</v>
      </c>
      <c r="C258" s="1">
        <v>90</v>
      </c>
      <c r="D258" s="1">
        <v>3</v>
      </c>
      <c r="E258" s="1" t="s">
        <v>1580</v>
      </c>
      <c r="F258" s="1">
        <v>7</v>
      </c>
      <c r="G258" s="1" t="s">
        <v>1581</v>
      </c>
      <c r="H258" s="1">
        <v>10</v>
      </c>
      <c r="I258" s="1" t="s">
        <v>1582</v>
      </c>
      <c r="J258" s="1">
        <v>10</v>
      </c>
      <c r="K258" s="1" t="s">
        <v>1550</v>
      </c>
      <c r="L258" s="1">
        <v>5</v>
      </c>
    </row>
    <row r="259" spans="1:13">
      <c r="A259" s="172"/>
      <c r="B259" s="1" t="s">
        <v>1501</v>
      </c>
      <c r="C259" s="1">
        <v>95</v>
      </c>
      <c r="D259" s="1">
        <v>4</v>
      </c>
      <c r="E259" s="1" t="s">
        <v>1580</v>
      </c>
      <c r="F259" s="1">
        <v>7</v>
      </c>
      <c r="G259" s="1" t="s">
        <v>1581</v>
      </c>
      <c r="H259" s="1">
        <v>11</v>
      </c>
      <c r="I259" s="1" t="s">
        <v>1582</v>
      </c>
      <c r="J259" s="1">
        <v>12</v>
      </c>
      <c r="K259" s="1" t="s">
        <v>1550</v>
      </c>
      <c r="L259" s="1">
        <v>5</v>
      </c>
    </row>
    <row r="260" spans="1:13">
      <c r="A260" s="172"/>
      <c r="B260" s="2" t="s">
        <v>2412</v>
      </c>
      <c r="C260" s="2">
        <v>110</v>
      </c>
      <c r="D260" s="1"/>
      <c r="E260" s="1"/>
      <c r="F260" s="1"/>
      <c r="G260" s="1"/>
      <c r="H260" s="1"/>
      <c r="I260" s="1"/>
      <c r="J260" s="1"/>
      <c r="K260" s="1"/>
      <c r="L260" s="1"/>
    </row>
    <row r="261" spans="1:13">
      <c r="A261" s="172"/>
      <c r="B261" s="2" t="s">
        <v>2413</v>
      </c>
      <c r="C261" s="2">
        <v>120</v>
      </c>
      <c r="D261" s="1"/>
      <c r="E261" s="1"/>
      <c r="F261" s="1"/>
      <c r="G261" s="1"/>
      <c r="H261" s="1"/>
      <c r="I261" s="1"/>
      <c r="J261" s="1"/>
      <c r="K261" s="1"/>
      <c r="L261" s="1"/>
    </row>
    <row r="262" spans="1:13">
      <c r="A262" s="172"/>
      <c r="B262" s="2" t="s">
        <v>2414</v>
      </c>
      <c r="C262" s="2">
        <v>130</v>
      </c>
      <c r="D262" s="1"/>
      <c r="E262" s="1"/>
      <c r="F262" s="1"/>
      <c r="G262" s="1"/>
      <c r="H262" s="1"/>
      <c r="I262" s="1"/>
      <c r="J262" s="1"/>
      <c r="K262" s="1"/>
      <c r="L262" s="1"/>
    </row>
    <row r="263" spans="1:13">
      <c r="A263" s="172"/>
      <c r="B263" s="2" t="s">
        <v>1878</v>
      </c>
      <c r="C263" s="2">
        <v>140</v>
      </c>
      <c r="D263" s="1"/>
      <c r="E263" s="1"/>
      <c r="F263" s="1"/>
      <c r="G263" s="1"/>
      <c r="H263" s="1"/>
      <c r="I263" s="1"/>
      <c r="J263" s="1"/>
      <c r="K263" s="1"/>
      <c r="L263" s="1"/>
    </row>
    <row r="264" spans="1:13">
      <c r="A264" s="172"/>
      <c r="B264" s="2" t="s">
        <v>1880</v>
      </c>
      <c r="C264" s="2">
        <v>150</v>
      </c>
      <c r="D264" s="1"/>
      <c r="E264" s="1"/>
      <c r="F264" s="1"/>
      <c r="G264" s="1"/>
      <c r="H264" s="1"/>
      <c r="I264" s="1"/>
      <c r="J264" s="1"/>
      <c r="K264" s="1"/>
      <c r="L264" s="1"/>
    </row>
    <row r="265" spans="1:13">
      <c r="A265" s="172"/>
      <c r="B265" s="2" t="s">
        <v>1882</v>
      </c>
      <c r="C265" s="2">
        <v>160</v>
      </c>
      <c r="D265" s="31"/>
      <c r="E265" s="31"/>
      <c r="F265" s="31"/>
      <c r="G265" s="31"/>
      <c r="H265" s="31"/>
      <c r="I265" s="31"/>
      <c r="J265" s="31"/>
      <c r="K265" s="31"/>
      <c r="L265" s="31"/>
    </row>
    <row r="266" spans="1:13">
      <c r="A266" s="2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1:13">
      <c r="A267" s="172" t="s">
        <v>2458</v>
      </c>
      <c r="B267" s="1" t="s">
        <v>1521</v>
      </c>
      <c r="C267" s="1">
        <v>54</v>
      </c>
      <c r="D267" s="1">
        <v>2</v>
      </c>
      <c r="E267" s="1" t="s">
        <v>1583</v>
      </c>
      <c r="F267" s="1">
        <v>4</v>
      </c>
      <c r="G267" s="1" t="s">
        <v>1584</v>
      </c>
      <c r="H267" s="1">
        <v>4</v>
      </c>
      <c r="I267" s="1" t="s">
        <v>1585</v>
      </c>
      <c r="J267" s="1">
        <v>70</v>
      </c>
      <c r="K267" s="1" t="s">
        <v>1563</v>
      </c>
      <c r="L267" s="1">
        <v>20</v>
      </c>
    </row>
    <row r="268" spans="1:13">
      <c r="A268" s="172"/>
      <c r="B268" s="1" t="s">
        <v>1522</v>
      </c>
      <c r="C268" s="1">
        <v>63</v>
      </c>
      <c r="D268" s="1">
        <v>2</v>
      </c>
      <c r="E268" s="1" t="s">
        <v>1583</v>
      </c>
      <c r="F268" s="1">
        <v>4</v>
      </c>
      <c r="G268" s="1" t="s">
        <v>1584</v>
      </c>
      <c r="H268" s="1">
        <v>4</v>
      </c>
      <c r="I268" s="1" t="s">
        <v>1563</v>
      </c>
      <c r="J268" s="1">
        <v>20</v>
      </c>
      <c r="K268" s="1" t="s">
        <v>1771</v>
      </c>
      <c r="L268" s="1" t="s">
        <v>1771</v>
      </c>
      <c r="M268" s="28">
        <v>10</v>
      </c>
    </row>
    <row r="269" spans="1:13">
      <c r="A269" s="172"/>
      <c r="B269" s="1" t="s">
        <v>1586</v>
      </c>
      <c r="C269" s="1">
        <v>67</v>
      </c>
      <c r="D269" s="1">
        <v>2</v>
      </c>
      <c r="E269" s="1" t="s">
        <v>1563</v>
      </c>
      <c r="F269" s="1">
        <v>25</v>
      </c>
      <c r="G269" s="1" t="s">
        <v>1587</v>
      </c>
      <c r="H269" s="1">
        <v>4</v>
      </c>
      <c r="I269" s="1" t="s">
        <v>1585</v>
      </c>
      <c r="J269" s="1">
        <v>70</v>
      </c>
      <c r="K269" s="1" t="s">
        <v>1771</v>
      </c>
      <c r="L269" s="1" t="s">
        <v>1771</v>
      </c>
      <c r="M269" s="28">
        <v>11</v>
      </c>
    </row>
    <row r="270" spans="1:13">
      <c r="A270" s="172"/>
      <c r="B270" s="1" t="s">
        <v>1588</v>
      </c>
      <c r="C270" s="1">
        <v>72</v>
      </c>
      <c r="D270" s="1">
        <v>2</v>
      </c>
      <c r="E270" s="1" t="s">
        <v>1584</v>
      </c>
      <c r="F270" s="1">
        <v>5</v>
      </c>
      <c r="G270" s="1" t="s">
        <v>1587</v>
      </c>
      <c r="H270" s="1">
        <v>5</v>
      </c>
      <c r="I270" s="1" t="s">
        <v>1563</v>
      </c>
      <c r="J270" s="1">
        <v>30</v>
      </c>
      <c r="K270" s="1" t="s">
        <v>1771</v>
      </c>
      <c r="L270" s="1" t="s">
        <v>1771</v>
      </c>
      <c r="M270" s="28">
        <v>12</v>
      </c>
    </row>
    <row r="271" spans="1:13">
      <c r="A271" s="172"/>
      <c r="B271" s="1" t="s">
        <v>1528</v>
      </c>
      <c r="C271" s="1">
        <v>85</v>
      </c>
      <c r="D271" s="1">
        <v>3</v>
      </c>
      <c r="E271" s="1" t="s">
        <v>1587</v>
      </c>
      <c r="F271" s="1">
        <v>40</v>
      </c>
      <c r="G271" s="1" t="s">
        <v>1584</v>
      </c>
      <c r="H271" s="1">
        <v>40</v>
      </c>
      <c r="I271" s="1" t="s">
        <v>1563</v>
      </c>
      <c r="J271" s="1">
        <v>30</v>
      </c>
      <c r="K271" s="1" t="s">
        <v>1550</v>
      </c>
      <c r="L271" s="1">
        <v>4</v>
      </c>
    </row>
    <row r="272" spans="1:13">
      <c r="A272" s="172"/>
      <c r="B272" s="1" t="s">
        <v>1529</v>
      </c>
      <c r="C272" s="1">
        <v>90</v>
      </c>
      <c r="D272" s="1">
        <v>3</v>
      </c>
      <c r="E272" s="1" t="s">
        <v>1587</v>
      </c>
      <c r="F272" s="1">
        <v>45</v>
      </c>
      <c r="G272" s="1" t="s">
        <v>1584</v>
      </c>
      <c r="H272" s="1">
        <v>45</v>
      </c>
      <c r="I272" s="1" t="s">
        <v>1563</v>
      </c>
      <c r="J272" s="1">
        <v>35</v>
      </c>
      <c r="K272" s="1" t="s">
        <v>1550</v>
      </c>
      <c r="L272" s="1">
        <v>5</v>
      </c>
    </row>
    <row r="273" spans="1:12">
      <c r="A273" s="172"/>
      <c r="B273" s="1" t="s">
        <v>1530</v>
      </c>
      <c r="C273" s="1">
        <v>95</v>
      </c>
      <c r="D273" s="1">
        <v>4</v>
      </c>
      <c r="E273" s="1" t="s">
        <v>1587</v>
      </c>
      <c r="F273" s="1">
        <v>50</v>
      </c>
      <c r="G273" s="1" t="s">
        <v>1584</v>
      </c>
      <c r="H273" s="1">
        <v>50</v>
      </c>
      <c r="I273" s="1" t="s">
        <v>1563</v>
      </c>
      <c r="J273" s="1">
        <v>40</v>
      </c>
      <c r="K273" s="1" t="s">
        <v>1550</v>
      </c>
      <c r="L273" s="1">
        <v>5</v>
      </c>
    </row>
    <row r="274" spans="1:12">
      <c r="A274" s="172"/>
      <c r="B274" s="2" t="s">
        <v>2415</v>
      </c>
      <c r="C274" s="2">
        <v>110</v>
      </c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72"/>
      <c r="B275" s="2" t="s">
        <v>2416</v>
      </c>
      <c r="C275" s="2">
        <v>120</v>
      </c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72"/>
      <c r="B276" s="2" t="s">
        <v>2417</v>
      </c>
      <c r="C276" s="2">
        <v>130</v>
      </c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72"/>
      <c r="B277" s="2" t="s">
        <v>1883</v>
      </c>
      <c r="C277" s="2">
        <v>140</v>
      </c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72"/>
      <c r="B278" s="2" t="s">
        <v>1884</v>
      </c>
      <c r="C278" s="2">
        <v>150</v>
      </c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72"/>
      <c r="B279" s="2" t="s">
        <v>1885</v>
      </c>
      <c r="C279" s="2">
        <v>160</v>
      </c>
      <c r="D279" s="31"/>
      <c r="E279" s="31"/>
      <c r="F279" s="31"/>
      <c r="G279" s="31"/>
      <c r="H279" s="31"/>
      <c r="I279" s="31"/>
      <c r="J279" s="31"/>
      <c r="K279" s="31"/>
      <c r="L279" s="31"/>
    </row>
    <row r="280" spans="1:12">
      <c r="A280" s="2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spans="1:12">
      <c r="A281" s="172" t="s">
        <v>2459</v>
      </c>
      <c r="B281" s="1" t="s">
        <v>2950</v>
      </c>
      <c r="C281" s="1">
        <v>54</v>
      </c>
      <c r="D281" s="1">
        <v>2</v>
      </c>
      <c r="E281" s="1" t="s">
        <v>1557</v>
      </c>
      <c r="F281" s="1">
        <v>40</v>
      </c>
      <c r="G281" s="1" t="s">
        <v>1556</v>
      </c>
      <c r="H281" s="1">
        <v>5</v>
      </c>
      <c r="I281" s="1" t="s">
        <v>1771</v>
      </c>
      <c r="J281" s="1" t="s">
        <v>1771</v>
      </c>
      <c r="K281" s="1" t="s">
        <v>1771</v>
      </c>
      <c r="L281" s="1" t="s">
        <v>1771</v>
      </c>
    </row>
    <row r="282" spans="1:12">
      <c r="A282" s="172"/>
      <c r="B282" s="1" t="s">
        <v>2951</v>
      </c>
      <c r="C282" s="1">
        <v>56</v>
      </c>
      <c r="D282" s="1">
        <v>2</v>
      </c>
      <c r="E282" s="1" t="s">
        <v>1558</v>
      </c>
      <c r="F282" s="1">
        <v>40</v>
      </c>
      <c r="G282" s="1" t="s">
        <v>1553</v>
      </c>
      <c r="H282" s="1">
        <v>5</v>
      </c>
      <c r="I282" s="1" t="s">
        <v>1771</v>
      </c>
      <c r="J282" s="1" t="s">
        <v>1771</v>
      </c>
      <c r="K282" s="1" t="s">
        <v>1771</v>
      </c>
      <c r="L282" s="1" t="s">
        <v>1771</v>
      </c>
    </row>
    <row r="283" spans="1:12">
      <c r="A283" s="172"/>
      <c r="B283" s="1" t="s">
        <v>2952</v>
      </c>
      <c r="C283" s="1">
        <v>58</v>
      </c>
      <c r="D283" s="1">
        <v>2</v>
      </c>
      <c r="E283" s="1" t="s">
        <v>1559</v>
      </c>
      <c r="F283" s="1">
        <v>40</v>
      </c>
      <c r="G283" s="1" t="s">
        <v>1551</v>
      </c>
      <c r="H283" s="1">
        <v>5</v>
      </c>
      <c r="I283" s="1" t="s">
        <v>1771</v>
      </c>
      <c r="J283" s="1" t="s">
        <v>1771</v>
      </c>
      <c r="K283" s="1" t="s">
        <v>1771</v>
      </c>
      <c r="L283" s="1" t="s">
        <v>1771</v>
      </c>
    </row>
    <row r="284" spans="1:12">
      <c r="A284" s="172"/>
      <c r="B284" s="1" t="s">
        <v>2953</v>
      </c>
      <c r="C284" s="1">
        <v>60</v>
      </c>
      <c r="D284" s="1">
        <v>2</v>
      </c>
      <c r="E284" s="1" t="s">
        <v>1560</v>
      </c>
      <c r="F284" s="1">
        <v>40</v>
      </c>
      <c r="G284" s="1" t="s">
        <v>1552</v>
      </c>
      <c r="H284" s="1">
        <v>5</v>
      </c>
      <c r="I284" s="1" t="s">
        <v>1771</v>
      </c>
      <c r="J284" s="1" t="s">
        <v>1771</v>
      </c>
      <c r="K284" s="1" t="s">
        <v>1771</v>
      </c>
      <c r="L284" s="1" t="s">
        <v>1771</v>
      </c>
    </row>
    <row r="285" spans="1:12">
      <c r="A285" s="172"/>
      <c r="B285" s="1" t="s">
        <v>2954</v>
      </c>
      <c r="C285" s="1">
        <v>62</v>
      </c>
      <c r="D285" s="1">
        <v>2</v>
      </c>
      <c r="E285" s="1" t="s">
        <v>1561</v>
      </c>
      <c r="F285" s="1">
        <v>40</v>
      </c>
      <c r="G285" s="1" t="s">
        <v>1555</v>
      </c>
      <c r="H285" s="1">
        <v>5</v>
      </c>
      <c r="I285" s="1" t="s">
        <v>1771</v>
      </c>
      <c r="J285" s="1" t="s">
        <v>1771</v>
      </c>
      <c r="K285" s="1" t="s">
        <v>1771</v>
      </c>
      <c r="L285" s="1" t="s">
        <v>1771</v>
      </c>
    </row>
    <row r="286" spans="1:12">
      <c r="A286" s="172"/>
      <c r="B286" s="1" t="s">
        <v>2955</v>
      </c>
      <c r="C286" s="1">
        <v>64</v>
      </c>
      <c r="D286" s="1">
        <v>2</v>
      </c>
      <c r="E286" s="1" t="s">
        <v>2467</v>
      </c>
      <c r="F286" s="1">
        <v>40</v>
      </c>
      <c r="G286" s="1" t="s">
        <v>1554</v>
      </c>
      <c r="H286" s="1">
        <v>5</v>
      </c>
      <c r="I286" s="1" t="s">
        <v>1771</v>
      </c>
      <c r="J286" s="1" t="s">
        <v>1771</v>
      </c>
      <c r="K286" s="1" t="s">
        <v>1771</v>
      </c>
      <c r="L286" s="1" t="s">
        <v>1771</v>
      </c>
    </row>
    <row r="287" spans="1:12">
      <c r="A287" s="172"/>
      <c r="B287" s="1" t="s">
        <v>2956</v>
      </c>
      <c r="C287" s="1">
        <v>66</v>
      </c>
      <c r="D287" s="1">
        <v>2</v>
      </c>
      <c r="E287" s="1" t="s">
        <v>1562</v>
      </c>
      <c r="F287" s="1">
        <v>40</v>
      </c>
      <c r="G287" s="1" t="s">
        <v>1550</v>
      </c>
      <c r="H287" s="1">
        <v>5</v>
      </c>
      <c r="I287" s="1" t="s">
        <v>1771</v>
      </c>
      <c r="J287" s="1" t="s">
        <v>1771</v>
      </c>
      <c r="K287" s="1" t="s">
        <v>1771</v>
      </c>
      <c r="L287" s="1" t="s">
        <v>1771</v>
      </c>
    </row>
    <row r="288" spans="1:12">
      <c r="A288" s="172"/>
      <c r="B288" s="1" t="s">
        <v>2960</v>
      </c>
      <c r="C288" s="1">
        <v>85</v>
      </c>
      <c r="D288" s="1">
        <v>3</v>
      </c>
      <c r="E288" s="1" t="s">
        <v>1554</v>
      </c>
      <c r="F288" s="1">
        <v>10</v>
      </c>
      <c r="G288" s="1" t="s">
        <v>1563</v>
      </c>
      <c r="H288" s="1">
        <v>10</v>
      </c>
      <c r="I288" s="1" t="s">
        <v>1564</v>
      </c>
      <c r="J288" s="1">
        <v>300</v>
      </c>
      <c r="K288" s="1" t="s">
        <v>1550</v>
      </c>
      <c r="L288" s="1">
        <v>4</v>
      </c>
    </row>
    <row r="289" spans="1:12">
      <c r="A289" s="172"/>
      <c r="B289" s="1" t="s">
        <v>2961</v>
      </c>
      <c r="C289" s="1">
        <v>90</v>
      </c>
      <c r="D289" s="1">
        <v>3</v>
      </c>
      <c r="E289" s="1" t="s">
        <v>1554</v>
      </c>
      <c r="F289" s="1">
        <v>11</v>
      </c>
      <c r="G289" s="1" t="s">
        <v>1563</v>
      </c>
      <c r="H289" s="1">
        <v>15</v>
      </c>
      <c r="I289" s="1" t="s">
        <v>1564</v>
      </c>
      <c r="J289" s="1">
        <v>350</v>
      </c>
      <c r="K289" s="1" t="s">
        <v>1550</v>
      </c>
      <c r="L289" s="1">
        <v>5</v>
      </c>
    </row>
    <row r="290" spans="1:12">
      <c r="A290" s="172"/>
      <c r="B290" s="1" t="s">
        <v>2962</v>
      </c>
      <c r="C290" s="1">
        <v>95</v>
      </c>
      <c r="D290" s="1">
        <v>4</v>
      </c>
      <c r="E290" s="1" t="s">
        <v>1554</v>
      </c>
      <c r="F290" s="1">
        <v>12</v>
      </c>
      <c r="G290" s="1" t="s">
        <v>1563</v>
      </c>
      <c r="H290" s="1">
        <v>20</v>
      </c>
      <c r="I290" s="1" t="s">
        <v>1564</v>
      </c>
      <c r="J290" s="1">
        <v>400</v>
      </c>
      <c r="K290" s="1" t="s">
        <v>1550</v>
      </c>
      <c r="L290" s="1">
        <v>5</v>
      </c>
    </row>
    <row r="291" spans="1:12">
      <c r="A291" s="172"/>
      <c r="B291" s="2" t="s">
        <v>2418</v>
      </c>
      <c r="C291" s="2">
        <v>110</v>
      </c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72"/>
      <c r="B292" s="2" t="s">
        <v>2419</v>
      </c>
      <c r="C292" s="2">
        <v>120</v>
      </c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72"/>
      <c r="B293" s="2" t="s">
        <v>2420</v>
      </c>
      <c r="C293" s="2">
        <v>130</v>
      </c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72"/>
      <c r="B294" s="2" t="s">
        <v>1891</v>
      </c>
      <c r="C294" s="2">
        <v>140</v>
      </c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72"/>
      <c r="B295" s="2" t="s">
        <v>1892</v>
      </c>
      <c r="C295" s="2">
        <v>150</v>
      </c>
      <c r="D295" s="31"/>
      <c r="E295" s="31"/>
      <c r="F295" s="31"/>
      <c r="G295" s="31"/>
      <c r="H295" s="31"/>
      <c r="I295" s="31"/>
      <c r="J295" s="31"/>
      <c r="K295" s="31"/>
      <c r="L295" s="31"/>
    </row>
    <row r="296" spans="1:12">
      <c r="A296" s="172"/>
      <c r="B296" s="2" t="s">
        <v>1893</v>
      </c>
      <c r="C296" s="2">
        <v>160</v>
      </c>
      <c r="D296" s="31"/>
      <c r="E296" s="31"/>
      <c r="F296" s="31"/>
      <c r="G296" s="31"/>
      <c r="H296" s="31"/>
      <c r="I296" s="31"/>
      <c r="J296" s="31"/>
      <c r="K296" s="31"/>
      <c r="L296" s="31"/>
    </row>
    <row r="297" spans="1:12">
      <c r="A297" s="2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spans="1:12">
      <c r="A298" s="172" t="s">
        <v>2460</v>
      </c>
      <c r="B298" s="1" t="s">
        <v>2982</v>
      </c>
      <c r="C298" s="1">
        <v>54</v>
      </c>
      <c r="D298" s="1">
        <v>2</v>
      </c>
      <c r="E298" s="1" t="s">
        <v>1557</v>
      </c>
      <c r="F298" s="1">
        <v>40</v>
      </c>
      <c r="G298" s="1" t="s">
        <v>1556</v>
      </c>
      <c r="H298" s="1">
        <v>5</v>
      </c>
      <c r="I298" s="1" t="s">
        <v>1565</v>
      </c>
      <c r="J298" s="1">
        <v>5</v>
      </c>
      <c r="K298" s="1" t="s">
        <v>1771</v>
      </c>
      <c r="L298" s="1" t="s">
        <v>1771</v>
      </c>
    </row>
    <row r="299" spans="1:12">
      <c r="A299" s="172"/>
      <c r="B299" s="1" t="s">
        <v>2983</v>
      </c>
      <c r="C299" s="1">
        <v>56</v>
      </c>
      <c r="D299" s="1">
        <v>2</v>
      </c>
      <c r="E299" s="1" t="s">
        <v>1558</v>
      </c>
      <c r="F299" s="1">
        <v>40</v>
      </c>
      <c r="G299" s="1" t="s">
        <v>1553</v>
      </c>
      <c r="H299" s="1">
        <v>5</v>
      </c>
      <c r="I299" s="1" t="s">
        <v>1565</v>
      </c>
      <c r="J299" s="1">
        <v>5</v>
      </c>
      <c r="K299" s="1" t="s">
        <v>1771</v>
      </c>
      <c r="L299" s="1" t="s">
        <v>1771</v>
      </c>
    </row>
    <row r="300" spans="1:12">
      <c r="A300" s="172"/>
      <c r="B300" s="1" t="s">
        <v>2984</v>
      </c>
      <c r="C300" s="1">
        <v>58</v>
      </c>
      <c r="D300" s="1">
        <v>2</v>
      </c>
      <c r="E300" s="1" t="s">
        <v>1559</v>
      </c>
      <c r="F300" s="1">
        <v>40</v>
      </c>
      <c r="G300" s="1" t="s">
        <v>1551</v>
      </c>
      <c r="H300" s="1">
        <v>5</v>
      </c>
      <c r="I300" s="1" t="s">
        <v>1565</v>
      </c>
      <c r="J300" s="1">
        <v>5</v>
      </c>
      <c r="K300" s="1" t="s">
        <v>1771</v>
      </c>
      <c r="L300" s="1" t="s">
        <v>1771</v>
      </c>
    </row>
    <row r="301" spans="1:12">
      <c r="A301" s="172"/>
      <c r="B301" s="1" t="s">
        <v>2985</v>
      </c>
      <c r="C301" s="1">
        <v>60</v>
      </c>
      <c r="D301" s="1">
        <v>2</v>
      </c>
      <c r="E301" s="1" t="s">
        <v>1560</v>
      </c>
      <c r="F301" s="1">
        <v>40</v>
      </c>
      <c r="G301" s="1" t="s">
        <v>1552</v>
      </c>
      <c r="H301" s="1">
        <v>5</v>
      </c>
      <c r="I301" s="1" t="s">
        <v>1565</v>
      </c>
      <c r="J301" s="1">
        <v>5</v>
      </c>
      <c r="K301" s="1" t="s">
        <v>1771</v>
      </c>
      <c r="L301" s="1" t="s">
        <v>1771</v>
      </c>
    </row>
    <row r="302" spans="1:12">
      <c r="A302" s="172"/>
      <c r="B302" s="1" t="s">
        <v>2986</v>
      </c>
      <c r="C302" s="1">
        <v>62</v>
      </c>
      <c r="D302" s="1">
        <v>2</v>
      </c>
      <c r="E302" s="1" t="s">
        <v>1561</v>
      </c>
      <c r="F302" s="1">
        <v>40</v>
      </c>
      <c r="G302" s="1" t="s">
        <v>1555</v>
      </c>
      <c r="H302" s="1">
        <v>5</v>
      </c>
      <c r="I302" s="1" t="s">
        <v>1565</v>
      </c>
      <c r="J302" s="1">
        <v>5</v>
      </c>
      <c r="K302" s="1" t="s">
        <v>1771</v>
      </c>
      <c r="L302" s="1" t="s">
        <v>1771</v>
      </c>
    </row>
    <row r="303" spans="1:12">
      <c r="A303" s="172"/>
      <c r="B303" s="1" t="s">
        <v>2987</v>
      </c>
      <c r="C303" s="1">
        <v>64</v>
      </c>
      <c r="D303" s="1">
        <v>2</v>
      </c>
      <c r="E303" s="1" t="s">
        <v>2467</v>
      </c>
      <c r="F303" s="1">
        <v>40</v>
      </c>
      <c r="G303" s="1" t="s">
        <v>1554</v>
      </c>
      <c r="H303" s="1">
        <v>5</v>
      </c>
      <c r="I303" s="1" t="s">
        <v>1565</v>
      </c>
      <c r="J303" s="1">
        <v>5</v>
      </c>
      <c r="K303" s="1" t="s">
        <v>1771</v>
      </c>
      <c r="L303" s="1" t="s">
        <v>1771</v>
      </c>
    </row>
    <row r="304" spans="1:12">
      <c r="A304" s="172"/>
      <c r="B304" s="1" t="s">
        <v>2988</v>
      </c>
      <c r="C304" s="1">
        <v>66</v>
      </c>
      <c r="D304" s="1">
        <v>2</v>
      </c>
      <c r="E304" s="1" t="s">
        <v>1562</v>
      </c>
      <c r="F304" s="1">
        <v>40</v>
      </c>
      <c r="G304" s="1" t="s">
        <v>1550</v>
      </c>
      <c r="H304" s="1">
        <v>5</v>
      </c>
      <c r="I304" s="1" t="s">
        <v>1565</v>
      </c>
      <c r="J304" s="1">
        <v>5</v>
      </c>
      <c r="K304" s="1" t="s">
        <v>1771</v>
      </c>
      <c r="L304" s="1" t="s">
        <v>1771</v>
      </c>
    </row>
    <row r="305" spans="1:12">
      <c r="A305" s="172"/>
      <c r="B305" s="1" t="s">
        <v>2992</v>
      </c>
      <c r="C305" s="1">
        <v>85</v>
      </c>
      <c r="D305" s="1">
        <v>3</v>
      </c>
      <c r="E305" s="1" t="s">
        <v>1566</v>
      </c>
      <c r="F305" s="1">
        <v>9</v>
      </c>
      <c r="G305" s="1" t="s">
        <v>1567</v>
      </c>
      <c r="H305" s="1">
        <v>200</v>
      </c>
      <c r="I305" s="1" t="s">
        <v>1563</v>
      </c>
      <c r="J305" s="1">
        <v>10</v>
      </c>
      <c r="K305" s="1" t="s">
        <v>1550</v>
      </c>
      <c r="L305" s="1">
        <v>4</v>
      </c>
    </row>
    <row r="306" spans="1:12">
      <c r="A306" s="172"/>
      <c r="B306" s="1" t="s">
        <v>2993</v>
      </c>
      <c r="C306" s="1">
        <v>90</v>
      </c>
      <c r="D306" s="1">
        <v>3</v>
      </c>
      <c r="E306" s="1" t="s">
        <v>1566</v>
      </c>
      <c r="F306" s="1">
        <v>10</v>
      </c>
      <c r="G306" s="1" t="s">
        <v>1567</v>
      </c>
      <c r="H306" s="1">
        <v>250</v>
      </c>
      <c r="I306" s="1" t="s">
        <v>1563</v>
      </c>
      <c r="J306" s="1">
        <v>15</v>
      </c>
      <c r="K306" s="1" t="s">
        <v>1550</v>
      </c>
      <c r="L306" s="1">
        <v>5</v>
      </c>
    </row>
    <row r="307" spans="1:12">
      <c r="A307" s="172"/>
      <c r="B307" s="1" t="s">
        <v>2994</v>
      </c>
      <c r="C307" s="1">
        <v>95</v>
      </c>
      <c r="D307" s="1">
        <v>4</v>
      </c>
      <c r="E307" s="1" t="s">
        <v>1566</v>
      </c>
      <c r="F307" s="1">
        <v>11</v>
      </c>
      <c r="G307" s="1" t="s">
        <v>1567</v>
      </c>
      <c r="H307" s="1">
        <v>300</v>
      </c>
      <c r="I307" s="1" t="s">
        <v>1563</v>
      </c>
      <c r="J307" s="1">
        <v>20</v>
      </c>
      <c r="K307" s="1" t="s">
        <v>1550</v>
      </c>
      <c r="L307" s="1">
        <v>5</v>
      </c>
    </row>
    <row r="308" spans="1:12">
      <c r="A308" s="172"/>
      <c r="B308" s="2" t="s">
        <v>2421</v>
      </c>
      <c r="C308" s="2">
        <v>110</v>
      </c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72"/>
      <c r="B309" s="2" t="s">
        <v>2422</v>
      </c>
      <c r="C309" s="2">
        <v>120</v>
      </c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72"/>
      <c r="B310" s="2" t="s">
        <v>2423</v>
      </c>
      <c r="C310" s="2">
        <v>130</v>
      </c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72"/>
      <c r="B311" s="2" t="s">
        <v>1894</v>
      </c>
      <c r="C311" s="2">
        <v>140</v>
      </c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72"/>
      <c r="B312" s="2" t="s">
        <v>1895</v>
      </c>
      <c r="C312" s="2">
        <v>150</v>
      </c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72"/>
      <c r="B313" s="2" t="s">
        <v>1896</v>
      </c>
      <c r="C313" s="2">
        <v>160</v>
      </c>
      <c r="D313" s="31"/>
      <c r="E313" s="31"/>
      <c r="F313" s="31"/>
      <c r="G313" s="31"/>
      <c r="H313" s="31"/>
      <c r="I313" s="31"/>
      <c r="J313" s="31"/>
      <c r="K313" s="31"/>
      <c r="L313" s="31"/>
    </row>
    <row r="314" spans="1:12">
      <c r="A314" s="2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 spans="1:12">
      <c r="A315" s="172" t="s">
        <v>2461</v>
      </c>
      <c r="B315" s="1" t="s">
        <v>3013</v>
      </c>
      <c r="C315" s="1">
        <v>54</v>
      </c>
      <c r="D315" s="1">
        <v>2</v>
      </c>
      <c r="E315" s="1" t="s">
        <v>1568</v>
      </c>
      <c r="F315" s="1" t="s">
        <v>1569</v>
      </c>
      <c r="G315" s="1" t="s">
        <v>1556</v>
      </c>
      <c r="H315" s="1">
        <v>5</v>
      </c>
      <c r="I315" s="1" t="s">
        <v>1771</v>
      </c>
      <c r="J315" s="1" t="s">
        <v>1771</v>
      </c>
      <c r="K315" s="1" t="s">
        <v>1771</v>
      </c>
      <c r="L315" s="1" t="s">
        <v>1771</v>
      </c>
    </row>
    <row r="316" spans="1:12">
      <c r="A316" s="172"/>
      <c r="B316" s="1" t="s">
        <v>3014</v>
      </c>
      <c r="C316" s="1">
        <v>56</v>
      </c>
      <c r="D316" s="1">
        <v>2</v>
      </c>
      <c r="E316" s="1" t="s">
        <v>1568</v>
      </c>
      <c r="F316" s="1" t="s">
        <v>1570</v>
      </c>
      <c r="G316" s="1" t="s">
        <v>1553</v>
      </c>
      <c r="H316" s="1">
        <v>5</v>
      </c>
      <c r="I316" s="1" t="s">
        <v>1771</v>
      </c>
      <c r="J316" s="1" t="s">
        <v>1771</v>
      </c>
      <c r="K316" s="1" t="s">
        <v>1771</v>
      </c>
      <c r="L316" s="1" t="s">
        <v>1771</v>
      </c>
    </row>
    <row r="317" spans="1:12">
      <c r="A317" s="172"/>
      <c r="B317" s="1" t="s">
        <v>3015</v>
      </c>
      <c r="C317" s="1">
        <v>58</v>
      </c>
      <c r="D317" s="1">
        <v>2</v>
      </c>
      <c r="E317" s="1" t="s">
        <v>1568</v>
      </c>
      <c r="F317" s="1" t="s">
        <v>1571</v>
      </c>
      <c r="G317" s="1" t="s">
        <v>1551</v>
      </c>
      <c r="H317" s="1">
        <v>5</v>
      </c>
      <c r="I317" s="1" t="s">
        <v>1771</v>
      </c>
      <c r="J317" s="1" t="s">
        <v>1771</v>
      </c>
      <c r="K317" s="1" t="s">
        <v>1771</v>
      </c>
      <c r="L317" s="1" t="s">
        <v>1771</v>
      </c>
    </row>
    <row r="318" spans="1:12">
      <c r="A318" s="172"/>
      <c r="B318" s="1" t="s">
        <v>3016</v>
      </c>
      <c r="C318" s="1">
        <v>60</v>
      </c>
      <c r="D318" s="1">
        <v>2</v>
      </c>
      <c r="E318" s="1" t="s">
        <v>1568</v>
      </c>
      <c r="F318" s="1" t="s">
        <v>1572</v>
      </c>
      <c r="G318" s="1" t="s">
        <v>1552</v>
      </c>
      <c r="H318" s="1">
        <v>5</v>
      </c>
      <c r="I318" s="1" t="s">
        <v>1771</v>
      </c>
      <c r="J318" s="1" t="s">
        <v>1771</v>
      </c>
      <c r="K318" s="1" t="s">
        <v>1771</v>
      </c>
      <c r="L318" s="1" t="s">
        <v>1771</v>
      </c>
    </row>
    <row r="319" spans="1:12">
      <c r="A319" s="172"/>
      <c r="B319" s="1" t="s">
        <v>3017</v>
      </c>
      <c r="C319" s="1">
        <v>62</v>
      </c>
      <c r="D319" s="1">
        <v>2</v>
      </c>
      <c r="E319" s="1" t="s">
        <v>1568</v>
      </c>
      <c r="F319" s="1" t="s">
        <v>1573</v>
      </c>
      <c r="G319" s="1" t="s">
        <v>1555</v>
      </c>
      <c r="H319" s="1">
        <v>5</v>
      </c>
      <c r="I319" s="1" t="s">
        <v>1771</v>
      </c>
      <c r="J319" s="1" t="s">
        <v>1771</v>
      </c>
      <c r="K319" s="1" t="s">
        <v>1771</v>
      </c>
      <c r="L319" s="1" t="s">
        <v>1771</v>
      </c>
    </row>
    <row r="320" spans="1:12">
      <c r="A320" s="172"/>
      <c r="B320" s="1" t="s">
        <v>3018</v>
      </c>
      <c r="C320" s="1">
        <v>64</v>
      </c>
      <c r="D320" s="1">
        <v>2</v>
      </c>
      <c r="E320" s="1" t="s">
        <v>1568</v>
      </c>
      <c r="F320" s="1" t="s">
        <v>2468</v>
      </c>
      <c r="G320" s="1" t="s">
        <v>1554</v>
      </c>
      <c r="H320" s="1">
        <v>5</v>
      </c>
      <c r="I320" s="1" t="s">
        <v>1771</v>
      </c>
      <c r="J320" s="1" t="s">
        <v>1771</v>
      </c>
      <c r="K320" s="1" t="s">
        <v>1771</v>
      </c>
      <c r="L320" s="1" t="s">
        <v>1771</v>
      </c>
    </row>
    <row r="321" spans="1:12">
      <c r="A321" s="172"/>
      <c r="B321" s="1" t="s">
        <v>3019</v>
      </c>
      <c r="C321" s="1">
        <v>66</v>
      </c>
      <c r="D321" s="1">
        <v>2</v>
      </c>
      <c r="E321" s="1" t="s">
        <v>1568</v>
      </c>
      <c r="F321" s="1" t="s">
        <v>1574</v>
      </c>
      <c r="G321" s="1" t="s">
        <v>1550</v>
      </c>
      <c r="H321" s="1">
        <v>5</v>
      </c>
      <c r="I321" s="1" t="s">
        <v>1771</v>
      </c>
      <c r="J321" s="1" t="s">
        <v>1771</v>
      </c>
      <c r="K321" s="1" t="s">
        <v>1771</v>
      </c>
      <c r="L321" s="1" t="s">
        <v>1771</v>
      </c>
    </row>
    <row r="322" spans="1:12">
      <c r="A322" s="172"/>
      <c r="B322" s="1" t="s">
        <v>3023</v>
      </c>
      <c r="C322" s="1">
        <v>85</v>
      </c>
      <c r="D322" s="1">
        <v>3</v>
      </c>
      <c r="E322" s="1" t="s">
        <v>1575</v>
      </c>
      <c r="F322" s="1">
        <v>9</v>
      </c>
      <c r="G322" s="1" t="s">
        <v>1567</v>
      </c>
      <c r="H322" s="1">
        <v>300</v>
      </c>
      <c r="I322" s="1" t="s">
        <v>1563</v>
      </c>
      <c r="J322" s="1">
        <v>10</v>
      </c>
      <c r="K322" s="1" t="s">
        <v>1550</v>
      </c>
      <c r="L322" s="1">
        <v>4</v>
      </c>
    </row>
    <row r="323" spans="1:12">
      <c r="A323" s="172"/>
      <c r="B323" s="1" t="s">
        <v>3024</v>
      </c>
      <c r="C323" s="1">
        <v>90</v>
      </c>
      <c r="D323" s="1">
        <v>3</v>
      </c>
      <c r="E323" s="1" t="s">
        <v>1575</v>
      </c>
      <c r="F323" s="1">
        <v>10</v>
      </c>
      <c r="G323" s="1" t="s">
        <v>1567</v>
      </c>
      <c r="H323" s="1">
        <v>350</v>
      </c>
      <c r="I323" s="1" t="s">
        <v>1563</v>
      </c>
      <c r="J323" s="1">
        <v>15</v>
      </c>
      <c r="K323" s="1" t="s">
        <v>1550</v>
      </c>
      <c r="L323" s="1">
        <v>5</v>
      </c>
    </row>
    <row r="324" spans="1:12">
      <c r="A324" s="172"/>
      <c r="B324" s="1" t="s">
        <v>3025</v>
      </c>
      <c r="C324" s="1">
        <v>95</v>
      </c>
      <c r="D324" s="1">
        <v>4</v>
      </c>
      <c r="E324" s="1" t="s">
        <v>1575</v>
      </c>
      <c r="F324" s="1">
        <v>11</v>
      </c>
      <c r="G324" s="1" t="s">
        <v>1567</v>
      </c>
      <c r="H324" s="1">
        <v>400</v>
      </c>
      <c r="I324" s="1" t="s">
        <v>1563</v>
      </c>
      <c r="J324" s="1">
        <v>20</v>
      </c>
      <c r="K324" s="1" t="s">
        <v>1550</v>
      </c>
      <c r="L324" s="1">
        <v>5</v>
      </c>
    </row>
    <row r="325" spans="1:12">
      <c r="A325" s="172"/>
      <c r="B325" s="2" t="s">
        <v>2424</v>
      </c>
      <c r="C325" s="2">
        <v>110</v>
      </c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72"/>
      <c r="B326" s="2" t="s">
        <v>2425</v>
      </c>
      <c r="C326" s="2">
        <v>120</v>
      </c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72"/>
      <c r="B327" s="2" t="s">
        <v>2426</v>
      </c>
      <c r="C327" s="2">
        <v>130</v>
      </c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72"/>
      <c r="B328" s="2" t="s">
        <v>1897</v>
      </c>
      <c r="C328" s="2">
        <v>140</v>
      </c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72"/>
      <c r="B329" s="2" t="s">
        <v>1898</v>
      </c>
      <c r="C329" s="2">
        <v>150</v>
      </c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72"/>
      <c r="B330" s="2" t="s">
        <v>1899</v>
      </c>
      <c r="C330" s="2">
        <v>160</v>
      </c>
      <c r="D330" s="31"/>
      <c r="E330" s="31"/>
      <c r="F330" s="31"/>
      <c r="G330" s="31"/>
      <c r="H330" s="31"/>
      <c r="I330" s="31"/>
      <c r="J330" s="31"/>
      <c r="K330" s="31"/>
      <c r="L330" s="31"/>
    </row>
    <row r="331" spans="1:12">
      <c r="A331" s="2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 spans="1:12">
      <c r="A332" s="172" t="s">
        <v>2450</v>
      </c>
      <c r="B332" s="1" t="s">
        <v>3027</v>
      </c>
      <c r="C332" s="1">
        <v>1</v>
      </c>
      <c r="D332" s="1">
        <v>1</v>
      </c>
      <c r="E332" s="1" t="s">
        <v>1578</v>
      </c>
      <c r="F332" s="1">
        <v>10</v>
      </c>
      <c r="G332" s="1" t="s">
        <v>2910</v>
      </c>
      <c r="H332" s="1">
        <v>5</v>
      </c>
      <c r="I332" s="1" t="s">
        <v>1550</v>
      </c>
      <c r="J332" s="1">
        <v>3</v>
      </c>
      <c r="K332" s="1" t="s">
        <v>1771</v>
      </c>
      <c r="L332" s="1" t="s">
        <v>1771</v>
      </c>
    </row>
    <row r="333" spans="1:12">
      <c r="A333" s="172"/>
      <c r="B333" s="1" t="s">
        <v>3028</v>
      </c>
      <c r="C333" s="1">
        <v>5</v>
      </c>
      <c r="D333" s="1">
        <v>1</v>
      </c>
      <c r="E333" s="1" t="s">
        <v>1578</v>
      </c>
      <c r="F333" s="1">
        <v>15</v>
      </c>
      <c r="G333" s="1" t="s">
        <v>2910</v>
      </c>
      <c r="H333" s="1">
        <v>10</v>
      </c>
      <c r="I333" s="1" t="s">
        <v>1550</v>
      </c>
      <c r="J333" s="1">
        <v>3</v>
      </c>
      <c r="K333" s="1" t="s">
        <v>1771</v>
      </c>
      <c r="L333" s="1" t="s">
        <v>1771</v>
      </c>
    </row>
    <row r="334" spans="1:12">
      <c r="A334" s="172"/>
      <c r="B334" s="1" t="s">
        <v>3029</v>
      </c>
      <c r="C334" s="1">
        <v>10</v>
      </c>
      <c r="D334" s="1">
        <v>1</v>
      </c>
      <c r="E334" s="1" t="s">
        <v>1578</v>
      </c>
      <c r="F334" s="1">
        <v>20</v>
      </c>
      <c r="G334" s="1" t="s">
        <v>2910</v>
      </c>
      <c r="H334" s="1">
        <v>15</v>
      </c>
      <c r="I334" s="1" t="s">
        <v>1550</v>
      </c>
      <c r="J334" s="1">
        <v>3</v>
      </c>
      <c r="K334" s="1" t="s">
        <v>1771</v>
      </c>
      <c r="L334" s="1" t="s">
        <v>1771</v>
      </c>
    </row>
    <row r="335" spans="1:12">
      <c r="A335" s="172"/>
      <c r="B335" s="1" t="s">
        <v>3030</v>
      </c>
      <c r="C335" s="1">
        <v>15</v>
      </c>
      <c r="D335" s="1">
        <v>1</v>
      </c>
      <c r="E335" s="1" t="s">
        <v>1578</v>
      </c>
      <c r="F335" s="1">
        <v>25</v>
      </c>
      <c r="G335" s="1" t="s">
        <v>2910</v>
      </c>
      <c r="H335" s="1">
        <v>20</v>
      </c>
      <c r="I335" s="1" t="s">
        <v>1550</v>
      </c>
      <c r="J335" s="1">
        <v>3</v>
      </c>
      <c r="K335" s="1" t="s">
        <v>1771</v>
      </c>
      <c r="L335" s="1" t="s">
        <v>1771</v>
      </c>
    </row>
    <row r="336" spans="1:12">
      <c r="A336" s="172"/>
      <c r="B336" s="1" t="s">
        <v>3031</v>
      </c>
      <c r="C336" s="1">
        <v>20</v>
      </c>
      <c r="D336" s="1">
        <v>1</v>
      </c>
      <c r="E336" s="1" t="s">
        <v>2911</v>
      </c>
      <c r="F336" s="1">
        <v>15</v>
      </c>
      <c r="G336" s="1" t="s">
        <v>1550</v>
      </c>
      <c r="H336" s="1">
        <v>3</v>
      </c>
      <c r="I336" s="1" t="s">
        <v>1771</v>
      </c>
      <c r="J336" s="1" t="s">
        <v>1771</v>
      </c>
      <c r="K336" s="1" t="s">
        <v>1771</v>
      </c>
      <c r="L336" s="1" t="s">
        <v>1771</v>
      </c>
    </row>
    <row r="337" spans="1:12">
      <c r="A337" s="172"/>
      <c r="B337" s="1" t="s">
        <v>3032</v>
      </c>
      <c r="C337" s="1">
        <v>25</v>
      </c>
      <c r="D337" s="1">
        <v>1</v>
      </c>
      <c r="E337" s="1" t="s">
        <v>2910</v>
      </c>
      <c r="F337" s="1">
        <v>25</v>
      </c>
      <c r="G337" s="1" t="s">
        <v>1550</v>
      </c>
      <c r="H337" s="1">
        <v>3</v>
      </c>
      <c r="I337" s="1" t="s">
        <v>1771</v>
      </c>
      <c r="J337" s="1" t="s">
        <v>1771</v>
      </c>
      <c r="K337" s="1" t="s">
        <v>1771</v>
      </c>
      <c r="L337" s="1" t="s">
        <v>1771</v>
      </c>
    </row>
    <row r="338" spans="1:12">
      <c r="A338" s="172"/>
      <c r="B338" s="1" t="s">
        <v>3033</v>
      </c>
      <c r="C338" s="1">
        <v>30</v>
      </c>
      <c r="D338" s="1">
        <v>1</v>
      </c>
      <c r="E338" s="1" t="s">
        <v>2912</v>
      </c>
      <c r="F338" s="1">
        <v>20</v>
      </c>
      <c r="G338" s="1" t="s">
        <v>2911</v>
      </c>
      <c r="H338" s="1">
        <v>20</v>
      </c>
      <c r="I338" s="1" t="s">
        <v>1550</v>
      </c>
      <c r="J338" s="1">
        <v>3</v>
      </c>
      <c r="K338" s="1" t="s">
        <v>1771</v>
      </c>
      <c r="L338" s="1" t="s">
        <v>1771</v>
      </c>
    </row>
    <row r="339" spans="1:12">
      <c r="A339" s="172"/>
      <c r="B339" s="1" t="s">
        <v>3034</v>
      </c>
      <c r="C339" s="1">
        <v>35</v>
      </c>
      <c r="D339" s="1">
        <v>1</v>
      </c>
      <c r="E339" s="1" t="s">
        <v>2913</v>
      </c>
      <c r="F339" s="1">
        <v>20</v>
      </c>
      <c r="G339" s="1" t="s">
        <v>2910</v>
      </c>
      <c r="H339" s="1">
        <v>30</v>
      </c>
      <c r="I339" s="1" t="s">
        <v>1550</v>
      </c>
      <c r="J339" s="1">
        <v>3</v>
      </c>
      <c r="K339" s="1" t="s">
        <v>1771</v>
      </c>
      <c r="L339" s="1" t="s">
        <v>1771</v>
      </c>
    </row>
    <row r="340" spans="1:12">
      <c r="A340" s="172"/>
      <c r="B340" s="1" t="s">
        <v>3035</v>
      </c>
      <c r="C340" s="1">
        <v>40</v>
      </c>
      <c r="D340" s="1">
        <v>1</v>
      </c>
      <c r="E340" s="1" t="s">
        <v>2912</v>
      </c>
      <c r="F340" s="1">
        <v>25</v>
      </c>
      <c r="G340" s="1" t="s">
        <v>2911</v>
      </c>
      <c r="H340" s="1">
        <v>25</v>
      </c>
      <c r="I340" s="1" t="s">
        <v>1550</v>
      </c>
      <c r="J340" s="1">
        <v>4</v>
      </c>
      <c r="K340" s="1" t="s">
        <v>1771</v>
      </c>
      <c r="L340" s="1" t="s">
        <v>1771</v>
      </c>
    </row>
    <row r="341" spans="1:12">
      <c r="A341" s="172"/>
      <c r="B341" s="1" t="s">
        <v>3036</v>
      </c>
      <c r="C341" s="1">
        <v>45</v>
      </c>
      <c r="D341" s="1">
        <v>1</v>
      </c>
      <c r="E341" s="1" t="s">
        <v>2913</v>
      </c>
      <c r="F341" s="1">
        <v>25</v>
      </c>
      <c r="G341" s="1" t="s">
        <v>2910</v>
      </c>
      <c r="H341" s="1">
        <v>35</v>
      </c>
      <c r="I341" s="1" t="s">
        <v>1550</v>
      </c>
      <c r="J341" s="1">
        <v>4</v>
      </c>
      <c r="K341" s="1" t="s">
        <v>1771</v>
      </c>
      <c r="L341" s="1" t="s">
        <v>1771</v>
      </c>
    </row>
    <row r="342" spans="1:12">
      <c r="A342" s="172"/>
      <c r="B342" s="1" t="s">
        <v>3037</v>
      </c>
      <c r="C342" s="1">
        <v>50</v>
      </c>
      <c r="D342" s="1">
        <v>1</v>
      </c>
      <c r="E342" s="1" t="s">
        <v>2912</v>
      </c>
      <c r="F342" s="1">
        <v>30</v>
      </c>
      <c r="G342" s="1" t="s">
        <v>2911</v>
      </c>
      <c r="H342" s="1">
        <v>30</v>
      </c>
      <c r="I342" s="1" t="s">
        <v>1550</v>
      </c>
      <c r="J342" s="1">
        <v>5</v>
      </c>
      <c r="K342" s="1" t="s">
        <v>1771</v>
      </c>
      <c r="L342" s="1" t="s">
        <v>1771</v>
      </c>
    </row>
    <row r="343" spans="1:12">
      <c r="A343" s="172"/>
      <c r="B343" s="1" t="s">
        <v>3038</v>
      </c>
      <c r="C343" s="1">
        <v>53</v>
      </c>
      <c r="D343" s="1">
        <v>2</v>
      </c>
      <c r="E343" s="1" t="s">
        <v>2913</v>
      </c>
      <c r="F343" s="1">
        <v>30</v>
      </c>
      <c r="G343" s="1" t="s">
        <v>2910</v>
      </c>
      <c r="H343" s="1">
        <v>40</v>
      </c>
      <c r="I343" s="1" t="s">
        <v>1556</v>
      </c>
      <c r="J343" s="1">
        <v>5</v>
      </c>
      <c r="K343" s="1" t="s">
        <v>1771</v>
      </c>
      <c r="L343" s="1" t="s">
        <v>1771</v>
      </c>
    </row>
    <row r="344" spans="1:12">
      <c r="A344" s="172"/>
      <c r="B344" s="1" t="s">
        <v>3039</v>
      </c>
      <c r="C344" s="1">
        <v>56</v>
      </c>
      <c r="D344" s="1">
        <v>2</v>
      </c>
      <c r="E344" s="1" t="s">
        <v>2912</v>
      </c>
      <c r="F344" s="1">
        <v>35</v>
      </c>
      <c r="G344" s="1" t="s">
        <v>2911</v>
      </c>
      <c r="H344" s="1">
        <v>35</v>
      </c>
      <c r="I344" s="1" t="s">
        <v>1553</v>
      </c>
      <c r="J344" s="1">
        <v>5</v>
      </c>
      <c r="K344" s="1" t="s">
        <v>1771</v>
      </c>
      <c r="L344" s="1" t="s">
        <v>1771</v>
      </c>
    </row>
    <row r="345" spans="1:12">
      <c r="A345" s="172"/>
      <c r="B345" s="1" t="s">
        <v>3040</v>
      </c>
      <c r="C345" s="1">
        <v>59</v>
      </c>
      <c r="D345" s="1">
        <v>2</v>
      </c>
      <c r="E345" s="1" t="s">
        <v>2910</v>
      </c>
      <c r="F345" s="1">
        <v>40</v>
      </c>
      <c r="G345" s="1" t="s">
        <v>2914</v>
      </c>
      <c r="H345" s="1">
        <v>100</v>
      </c>
      <c r="I345" s="1" t="s">
        <v>1551</v>
      </c>
      <c r="J345" s="1">
        <v>5</v>
      </c>
      <c r="K345" s="1" t="s">
        <v>1771</v>
      </c>
      <c r="L345" s="1" t="s">
        <v>1771</v>
      </c>
    </row>
    <row r="346" spans="1:12">
      <c r="A346" s="172"/>
      <c r="B346" s="1" t="s">
        <v>3041</v>
      </c>
      <c r="C346" s="1">
        <v>62</v>
      </c>
      <c r="D346" s="1">
        <v>2</v>
      </c>
      <c r="E346" s="1" t="s">
        <v>2911</v>
      </c>
      <c r="F346" s="1">
        <v>40</v>
      </c>
      <c r="G346" s="1" t="s">
        <v>2914</v>
      </c>
      <c r="H346" s="1">
        <v>120</v>
      </c>
      <c r="I346" s="1" t="s">
        <v>1552</v>
      </c>
      <c r="J346" s="1">
        <v>5</v>
      </c>
      <c r="K346" s="1" t="s">
        <v>1771</v>
      </c>
      <c r="L346" s="1" t="s">
        <v>1771</v>
      </c>
    </row>
    <row r="347" spans="1:12">
      <c r="A347" s="172"/>
      <c r="B347" s="1" t="s">
        <v>3042</v>
      </c>
      <c r="C347" s="1">
        <v>65</v>
      </c>
      <c r="D347" s="1">
        <v>2</v>
      </c>
      <c r="E347" s="1" t="s">
        <v>2910</v>
      </c>
      <c r="F347" s="1">
        <v>40</v>
      </c>
      <c r="G347" s="1" t="s">
        <v>2914</v>
      </c>
      <c r="H347" s="1">
        <v>140</v>
      </c>
      <c r="I347" s="1" t="s">
        <v>1555</v>
      </c>
      <c r="J347" s="1">
        <v>5</v>
      </c>
      <c r="K347" s="1" t="s">
        <v>1771</v>
      </c>
      <c r="L347" s="1" t="s">
        <v>1771</v>
      </c>
    </row>
    <row r="348" spans="1:12">
      <c r="A348" s="172"/>
      <c r="B348" s="1" t="s">
        <v>3043</v>
      </c>
      <c r="C348" s="1">
        <v>68</v>
      </c>
      <c r="D348" s="1">
        <v>2</v>
      </c>
      <c r="E348" s="1" t="s">
        <v>2911</v>
      </c>
      <c r="F348" s="1">
        <v>45</v>
      </c>
      <c r="G348" s="1" t="s">
        <v>2914</v>
      </c>
      <c r="H348" s="1">
        <v>160</v>
      </c>
      <c r="I348" s="1" t="s">
        <v>1554</v>
      </c>
      <c r="J348" s="1">
        <v>5</v>
      </c>
      <c r="K348" s="1" t="s">
        <v>1771</v>
      </c>
      <c r="L348" s="1" t="s">
        <v>1771</v>
      </c>
    </row>
    <row r="349" spans="1:12">
      <c r="A349" s="172"/>
      <c r="B349" s="1" t="s">
        <v>3044</v>
      </c>
      <c r="C349" s="1">
        <v>72</v>
      </c>
      <c r="D349" s="1">
        <v>2</v>
      </c>
      <c r="E349" s="1" t="s">
        <v>2910</v>
      </c>
      <c r="F349" s="1">
        <v>40</v>
      </c>
      <c r="G349" s="1" t="s">
        <v>2914</v>
      </c>
      <c r="H349" s="1">
        <v>180</v>
      </c>
      <c r="I349" s="1" t="s">
        <v>1550</v>
      </c>
      <c r="J349" s="1">
        <v>7</v>
      </c>
      <c r="K349" s="1" t="s">
        <v>1771</v>
      </c>
      <c r="L349" s="1" t="s">
        <v>1771</v>
      </c>
    </row>
    <row r="350" spans="1:12">
      <c r="A350" s="172"/>
      <c r="B350" s="1" t="s">
        <v>3045</v>
      </c>
      <c r="C350" s="1">
        <v>80</v>
      </c>
      <c r="D350" s="1">
        <v>3</v>
      </c>
      <c r="E350" s="1" t="s">
        <v>2911</v>
      </c>
      <c r="F350" s="1">
        <v>50</v>
      </c>
      <c r="G350" s="1" t="s">
        <v>2914</v>
      </c>
      <c r="H350" s="1">
        <v>200</v>
      </c>
      <c r="I350" s="1" t="s">
        <v>1550</v>
      </c>
      <c r="J350" s="1">
        <v>8</v>
      </c>
      <c r="K350" s="1" t="s">
        <v>1771</v>
      </c>
      <c r="L350" s="1" t="s">
        <v>1771</v>
      </c>
    </row>
    <row r="351" spans="1:12">
      <c r="A351" s="172"/>
      <c r="B351" s="1" t="s">
        <v>3049</v>
      </c>
      <c r="C351" s="1">
        <v>85</v>
      </c>
      <c r="D351" s="1">
        <v>3</v>
      </c>
      <c r="E351" s="1" t="s">
        <v>1578</v>
      </c>
      <c r="F351" s="1">
        <v>35</v>
      </c>
      <c r="G351" s="1" t="s">
        <v>2910</v>
      </c>
      <c r="H351" s="1">
        <v>25</v>
      </c>
      <c r="I351" s="1" t="s">
        <v>2911</v>
      </c>
      <c r="J351" s="1">
        <v>25</v>
      </c>
      <c r="K351" s="1" t="s">
        <v>1550</v>
      </c>
      <c r="L351" s="1">
        <v>4</v>
      </c>
    </row>
    <row r="352" spans="1:12">
      <c r="A352" s="172"/>
      <c r="B352" s="1" t="s">
        <v>3050</v>
      </c>
      <c r="C352" s="1">
        <v>90</v>
      </c>
      <c r="D352" s="1">
        <v>3</v>
      </c>
      <c r="E352" s="1" t="s">
        <v>1578</v>
      </c>
      <c r="F352" s="1">
        <v>40</v>
      </c>
      <c r="G352" s="1" t="s">
        <v>2910</v>
      </c>
      <c r="H352" s="1">
        <v>30</v>
      </c>
      <c r="I352" s="1" t="s">
        <v>2911</v>
      </c>
      <c r="J352" s="1">
        <v>30</v>
      </c>
      <c r="K352" s="1" t="s">
        <v>1550</v>
      </c>
      <c r="L352" s="1">
        <v>5</v>
      </c>
    </row>
    <row r="353" spans="1:12">
      <c r="A353" s="172"/>
      <c r="B353" s="1" t="s">
        <v>3051</v>
      </c>
      <c r="C353" s="1">
        <v>95</v>
      </c>
      <c r="D353" s="1">
        <v>4</v>
      </c>
      <c r="E353" s="1" t="s">
        <v>1578</v>
      </c>
      <c r="F353" s="1">
        <v>45</v>
      </c>
      <c r="G353" s="1" t="s">
        <v>2910</v>
      </c>
      <c r="H353" s="1">
        <v>35</v>
      </c>
      <c r="I353" s="1" t="s">
        <v>2911</v>
      </c>
      <c r="J353" s="1">
        <v>35</v>
      </c>
      <c r="K353" s="1" t="s">
        <v>1550</v>
      </c>
      <c r="L353" s="1">
        <v>5</v>
      </c>
    </row>
    <row r="354" spans="1:12">
      <c r="A354" s="172"/>
      <c r="B354" s="2" t="s">
        <v>2427</v>
      </c>
      <c r="C354" s="2">
        <v>110</v>
      </c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72"/>
      <c r="B355" s="2" t="s">
        <v>2428</v>
      </c>
      <c r="C355" s="2">
        <v>120</v>
      </c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72"/>
      <c r="B356" s="2" t="s">
        <v>2429</v>
      </c>
      <c r="C356" s="2">
        <v>130</v>
      </c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72"/>
      <c r="B357" s="2" t="s">
        <v>1886</v>
      </c>
      <c r="C357" s="2">
        <v>140</v>
      </c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72"/>
      <c r="B358" s="2" t="s">
        <v>1887</v>
      </c>
      <c r="C358" s="2">
        <v>150</v>
      </c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72"/>
      <c r="B359" s="2" t="s">
        <v>1888</v>
      </c>
      <c r="C359" s="2">
        <v>160</v>
      </c>
      <c r="D359" s="31"/>
      <c r="E359" s="31"/>
      <c r="F359" s="31"/>
      <c r="G359" s="31"/>
      <c r="H359" s="31"/>
      <c r="I359" s="31"/>
      <c r="J359" s="31"/>
      <c r="K359" s="31"/>
      <c r="L359" s="31"/>
    </row>
    <row r="360" spans="1:12">
      <c r="A360" s="2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 spans="1:12">
      <c r="A361" s="172" t="s">
        <v>2451</v>
      </c>
      <c r="B361" s="1" t="s">
        <v>3052</v>
      </c>
      <c r="C361" s="1">
        <v>1</v>
      </c>
      <c r="D361" s="1">
        <v>1</v>
      </c>
      <c r="E361" s="1" t="s">
        <v>1576</v>
      </c>
      <c r="F361" s="1">
        <v>10</v>
      </c>
      <c r="G361" s="1" t="s">
        <v>2915</v>
      </c>
      <c r="H361" s="1">
        <v>10</v>
      </c>
      <c r="I361" s="1" t="s">
        <v>1550</v>
      </c>
      <c r="J361" s="1">
        <v>3</v>
      </c>
      <c r="K361" s="1" t="s">
        <v>1771</v>
      </c>
      <c r="L361" s="1" t="s">
        <v>1771</v>
      </c>
    </row>
    <row r="362" spans="1:12">
      <c r="A362" s="172"/>
      <c r="B362" s="1" t="s">
        <v>3053</v>
      </c>
      <c r="C362" s="1">
        <v>5</v>
      </c>
      <c r="D362" s="1">
        <v>1</v>
      </c>
      <c r="E362" s="1" t="s">
        <v>1576</v>
      </c>
      <c r="F362" s="1">
        <v>15</v>
      </c>
      <c r="G362" s="1" t="s">
        <v>2448</v>
      </c>
      <c r="H362" s="1">
        <v>20</v>
      </c>
      <c r="I362" s="1" t="s">
        <v>1550</v>
      </c>
      <c r="J362" s="1">
        <v>3</v>
      </c>
      <c r="K362" s="1" t="s">
        <v>1771</v>
      </c>
      <c r="L362" s="1" t="s">
        <v>1771</v>
      </c>
    </row>
    <row r="363" spans="1:12">
      <c r="A363" s="172"/>
      <c r="B363" s="1" t="s">
        <v>3054</v>
      </c>
      <c r="C363" s="1">
        <v>10</v>
      </c>
      <c r="D363" s="1">
        <v>1</v>
      </c>
      <c r="E363" s="1" t="s">
        <v>1576</v>
      </c>
      <c r="F363" s="1">
        <v>20</v>
      </c>
      <c r="G363" s="1" t="s">
        <v>2890</v>
      </c>
      <c r="H363" s="1">
        <v>20</v>
      </c>
      <c r="I363" s="1" t="s">
        <v>1550</v>
      </c>
      <c r="J363" s="1">
        <v>3</v>
      </c>
      <c r="K363" s="1" t="s">
        <v>1771</v>
      </c>
      <c r="L363" s="1" t="s">
        <v>1771</v>
      </c>
    </row>
    <row r="364" spans="1:12">
      <c r="A364" s="172"/>
      <c r="B364" s="1" t="s">
        <v>3055</v>
      </c>
      <c r="C364" s="1">
        <v>15</v>
      </c>
      <c r="D364" s="1">
        <v>1</v>
      </c>
      <c r="E364" s="1" t="s">
        <v>1576</v>
      </c>
      <c r="F364" s="1">
        <v>25</v>
      </c>
      <c r="G364" s="1" t="s">
        <v>2915</v>
      </c>
      <c r="H364" s="1">
        <v>15</v>
      </c>
      <c r="I364" s="1" t="s">
        <v>1550</v>
      </c>
      <c r="J364" s="1">
        <v>3</v>
      </c>
      <c r="K364" s="1" t="s">
        <v>1771</v>
      </c>
      <c r="L364" s="1" t="s">
        <v>1771</v>
      </c>
    </row>
    <row r="365" spans="1:12">
      <c r="A365" s="172"/>
      <c r="B365" s="1" t="s">
        <v>3056</v>
      </c>
      <c r="C365" s="1">
        <v>20</v>
      </c>
      <c r="D365" s="1">
        <v>1</v>
      </c>
      <c r="E365" s="1" t="s">
        <v>2448</v>
      </c>
      <c r="F365" s="1">
        <v>70</v>
      </c>
      <c r="G365" s="1" t="s">
        <v>1550</v>
      </c>
      <c r="H365" s="1" t="s">
        <v>1771</v>
      </c>
      <c r="I365" s="1" t="s">
        <v>1771</v>
      </c>
      <c r="J365" s="1" t="s">
        <v>1771</v>
      </c>
      <c r="K365" s="1" t="s">
        <v>1771</v>
      </c>
      <c r="L365" s="1" t="s">
        <v>1771</v>
      </c>
    </row>
    <row r="366" spans="1:12">
      <c r="A366" s="172"/>
      <c r="B366" s="1" t="s">
        <v>3057</v>
      </c>
      <c r="C366" s="1">
        <v>25</v>
      </c>
      <c r="D366" s="1">
        <v>1</v>
      </c>
      <c r="E366" s="1" t="s">
        <v>2890</v>
      </c>
      <c r="F366" s="1">
        <v>50</v>
      </c>
      <c r="G366" s="1" t="s">
        <v>1550</v>
      </c>
      <c r="H366" s="1" t="s">
        <v>1771</v>
      </c>
      <c r="I366" s="1" t="s">
        <v>1771</v>
      </c>
      <c r="J366" s="1" t="s">
        <v>1771</v>
      </c>
      <c r="K366" s="1" t="s">
        <v>1771</v>
      </c>
      <c r="L366" s="1" t="s">
        <v>1771</v>
      </c>
    </row>
    <row r="367" spans="1:12">
      <c r="A367" s="172"/>
      <c r="B367" s="1" t="s">
        <v>3058</v>
      </c>
      <c r="C367" s="1">
        <v>30</v>
      </c>
      <c r="D367" s="1">
        <v>1</v>
      </c>
      <c r="E367" s="1" t="s">
        <v>1579</v>
      </c>
      <c r="F367" s="1">
        <v>10</v>
      </c>
      <c r="G367" s="1" t="s">
        <v>2915</v>
      </c>
      <c r="H367" s="1">
        <v>20</v>
      </c>
      <c r="I367" s="1" t="s">
        <v>1550</v>
      </c>
      <c r="J367" s="1">
        <v>3</v>
      </c>
      <c r="K367" s="1" t="s">
        <v>1771</v>
      </c>
      <c r="L367" s="1" t="s">
        <v>1771</v>
      </c>
    </row>
    <row r="368" spans="1:12">
      <c r="A368" s="172"/>
      <c r="B368" s="1" t="s">
        <v>3059</v>
      </c>
      <c r="C368" s="1">
        <v>35</v>
      </c>
      <c r="D368" s="1">
        <v>1</v>
      </c>
      <c r="E368" s="1" t="s">
        <v>2916</v>
      </c>
      <c r="F368" s="1">
        <v>1</v>
      </c>
      <c r="G368" s="1" t="s">
        <v>2448</v>
      </c>
      <c r="H368" s="1">
        <v>170</v>
      </c>
      <c r="I368" s="1" t="s">
        <v>1550</v>
      </c>
      <c r="J368" s="1">
        <v>3</v>
      </c>
      <c r="K368" s="1" t="s">
        <v>1771</v>
      </c>
      <c r="L368" s="1" t="s">
        <v>1771</v>
      </c>
    </row>
    <row r="369" spans="1:12">
      <c r="A369" s="172"/>
      <c r="B369" s="1" t="s">
        <v>3060</v>
      </c>
      <c r="C369" s="1">
        <v>40</v>
      </c>
      <c r="D369" s="1">
        <v>1</v>
      </c>
      <c r="E369" s="1" t="s">
        <v>2917</v>
      </c>
      <c r="F369" s="1">
        <v>150</v>
      </c>
      <c r="G369" s="1" t="s">
        <v>2890</v>
      </c>
      <c r="H369" s="1">
        <v>80</v>
      </c>
      <c r="I369" s="1" t="s">
        <v>1550</v>
      </c>
      <c r="J369" s="1">
        <v>4</v>
      </c>
      <c r="K369" s="1" t="s">
        <v>1771</v>
      </c>
      <c r="L369" s="1" t="s">
        <v>1771</v>
      </c>
    </row>
    <row r="370" spans="1:12">
      <c r="A370" s="172"/>
      <c r="B370" s="1" t="s">
        <v>3061</v>
      </c>
      <c r="C370" s="1">
        <v>45</v>
      </c>
      <c r="D370" s="1">
        <v>1</v>
      </c>
      <c r="E370" s="1" t="s">
        <v>1579</v>
      </c>
      <c r="F370" s="1">
        <v>20</v>
      </c>
      <c r="G370" s="1" t="s">
        <v>2915</v>
      </c>
      <c r="H370" s="1">
        <v>25</v>
      </c>
      <c r="I370" s="1" t="s">
        <v>1550</v>
      </c>
      <c r="J370" s="1">
        <v>4</v>
      </c>
      <c r="K370" s="1" t="s">
        <v>1771</v>
      </c>
      <c r="L370" s="1" t="s">
        <v>1771</v>
      </c>
    </row>
    <row r="371" spans="1:12">
      <c r="A371" s="172"/>
      <c r="B371" s="1" t="s">
        <v>3062</v>
      </c>
      <c r="C371" s="1">
        <v>50</v>
      </c>
      <c r="D371" s="1">
        <v>1</v>
      </c>
      <c r="E371" s="1" t="s">
        <v>2916</v>
      </c>
      <c r="F371" s="1">
        <v>2</v>
      </c>
      <c r="G371" s="1" t="s">
        <v>2448</v>
      </c>
      <c r="H371" s="1">
        <v>320</v>
      </c>
      <c r="I371" s="1" t="s">
        <v>1550</v>
      </c>
      <c r="J371" s="1">
        <v>5</v>
      </c>
      <c r="K371" s="1" t="s">
        <v>1771</v>
      </c>
      <c r="L371" s="1" t="s">
        <v>1771</v>
      </c>
    </row>
    <row r="372" spans="1:12">
      <c r="A372" s="172"/>
      <c r="B372" s="1" t="s">
        <v>3063</v>
      </c>
      <c r="C372" s="1">
        <v>55</v>
      </c>
      <c r="D372" s="1">
        <v>1</v>
      </c>
      <c r="E372" s="1" t="s">
        <v>2917</v>
      </c>
      <c r="F372" s="1">
        <v>150</v>
      </c>
      <c r="G372" s="1" t="s">
        <v>2890</v>
      </c>
      <c r="H372" s="1">
        <v>170</v>
      </c>
      <c r="I372" s="1" t="s">
        <v>1555</v>
      </c>
      <c r="J372" s="1">
        <v>8</v>
      </c>
      <c r="K372" s="1" t="s">
        <v>1771</v>
      </c>
      <c r="L372" s="1" t="s">
        <v>1771</v>
      </c>
    </row>
    <row r="373" spans="1:12">
      <c r="A373" s="172"/>
      <c r="B373" s="1" t="s">
        <v>3064</v>
      </c>
      <c r="C373" s="1">
        <v>60</v>
      </c>
      <c r="D373" s="1">
        <v>2</v>
      </c>
      <c r="E373" s="1" t="s">
        <v>1576</v>
      </c>
      <c r="F373" s="1">
        <v>35</v>
      </c>
      <c r="G373" s="1" t="s">
        <v>2915</v>
      </c>
      <c r="H373" s="1">
        <v>30</v>
      </c>
      <c r="I373" s="1" t="s">
        <v>1551</v>
      </c>
      <c r="J373" s="1">
        <v>6</v>
      </c>
      <c r="K373" s="1" t="s">
        <v>1771</v>
      </c>
      <c r="L373" s="1" t="s">
        <v>1771</v>
      </c>
    </row>
    <row r="374" spans="1:12">
      <c r="A374" s="172"/>
      <c r="B374" s="1" t="s">
        <v>3065</v>
      </c>
      <c r="C374" s="1">
        <v>62</v>
      </c>
      <c r="D374" s="1">
        <v>2</v>
      </c>
      <c r="E374" s="1" t="s">
        <v>2916</v>
      </c>
      <c r="F374" s="1">
        <v>3</v>
      </c>
      <c r="G374" s="1" t="s">
        <v>2448</v>
      </c>
      <c r="H374" s="1">
        <v>500</v>
      </c>
      <c r="I374" s="1" t="s">
        <v>1552</v>
      </c>
      <c r="J374" s="1">
        <v>6</v>
      </c>
      <c r="K374" s="1" t="s">
        <v>1771</v>
      </c>
      <c r="L374" s="1" t="s">
        <v>1771</v>
      </c>
    </row>
    <row r="375" spans="1:12">
      <c r="A375" s="172"/>
      <c r="B375" s="1" t="s">
        <v>3066</v>
      </c>
      <c r="C375" s="1">
        <v>64</v>
      </c>
      <c r="D375" s="1">
        <v>2</v>
      </c>
      <c r="E375" s="1" t="s">
        <v>2917</v>
      </c>
      <c r="F375" s="1">
        <v>200</v>
      </c>
      <c r="G375" s="1" t="s">
        <v>2890</v>
      </c>
      <c r="H375" s="1">
        <v>200</v>
      </c>
      <c r="I375" s="1" t="s">
        <v>1556</v>
      </c>
      <c r="J375" s="1">
        <v>6</v>
      </c>
      <c r="K375" s="1" t="s">
        <v>1771</v>
      </c>
      <c r="L375" s="1" t="s">
        <v>1771</v>
      </c>
    </row>
    <row r="376" spans="1:12">
      <c r="A376" s="172"/>
      <c r="B376" s="1" t="s">
        <v>3067</v>
      </c>
      <c r="C376" s="1">
        <v>66</v>
      </c>
      <c r="D376" s="1">
        <v>2</v>
      </c>
      <c r="E376" s="1" t="s">
        <v>1576</v>
      </c>
      <c r="F376" s="1">
        <v>40</v>
      </c>
      <c r="G376" s="1" t="s">
        <v>2915</v>
      </c>
      <c r="H376" s="1">
        <v>35</v>
      </c>
      <c r="I376" s="1" t="s">
        <v>1554</v>
      </c>
      <c r="J376" s="1">
        <v>6</v>
      </c>
      <c r="K376" s="1" t="s">
        <v>1771</v>
      </c>
      <c r="L376" s="1" t="s">
        <v>1771</v>
      </c>
    </row>
    <row r="377" spans="1:12">
      <c r="A377" s="172"/>
      <c r="B377" s="1" t="s">
        <v>3068</v>
      </c>
      <c r="C377" s="1">
        <v>68</v>
      </c>
      <c r="D377" s="1">
        <v>2</v>
      </c>
      <c r="E377" s="1" t="s">
        <v>2916</v>
      </c>
      <c r="F377" s="1">
        <v>4</v>
      </c>
      <c r="G377" s="1" t="s">
        <v>2448</v>
      </c>
      <c r="H377" s="1">
        <v>560</v>
      </c>
      <c r="I377" s="1" t="s">
        <v>1553</v>
      </c>
      <c r="J377" s="1">
        <v>6</v>
      </c>
      <c r="K377" s="1" t="s">
        <v>1771</v>
      </c>
      <c r="L377" s="1" t="s">
        <v>1771</v>
      </c>
    </row>
    <row r="378" spans="1:12">
      <c r="A378" s="172"/>
      <c r="B378" s="1" t="s">
        <v>3069</v>
      </c>
      <c r="C378" s="1">
        <v>80</v>
      </c>
      <c r="D378" s="1">
        <v>3</v>
      </c>
      <c r="E378" s="1" t="s">
        <v>2917</v>
      </c>
      <c r="F378" s="1">
        <v>250</v>
      </c>
      <c r="G378" s="1" t="s">
        <v>2890</v>
      </c>
      <c r="H378" s="1">
        <v>340</v>
      </c>
      <c r="I378" s="1" t="s">
        <v>1550</v>
      </c>
      <c r="J378" s="1">
        <v>8</v>
      </c>
      <c r="K378" s="1" t="s">
        <v>1771</v>
      </c>
      <c r="L378" s="1" t="s">
        <v>1771</v>
      </c>
    </row>
    <row r="379" spans="1:12">
      <c r="A379" s="172"/>
      <c r="B379" s="1" t="s">
        <v>3070</v>
      </c>
      <c r="C379" s="1">
        <v>80</v>
      </c>
      <c r="D379" s="1">
        <v>3</v>
      </c>
      <c r="E379" s="1" t="s">
        <v>2917</v>
      </c>
      <c r="F379" s="1">
        <v>250</v>
      </c>
      <c r="G379" s="1" t="s">
        <v>2448</v>
      </c>
      <c r="H379" s="1">
        <v>760</v>
      </c>
      <c r="I379" s="1" t="s">
        <v>1550</v>
      </c>
      <c r="J379" s="1">
        <v>8</v>
      </c>
      <c r="K379" s="1" t="s">
        <v>1771</v>
      </c>
      <c r="L379" s="1" t="s">
        <v>1771</v>
      </c>
    </row>
    <row r="380" spans="1:12">
      <c r="A380" s="172"/>
      <c r="B380" s="1" t="s">
        <v>3071</v>
      </c>
      <c r="C380" s="1">
        <v>80</v>
      </c>
      <c r="D380" s="1">
        <v>3</v>
      </c>
      <c r="E380" s="1" t="s">
        <v>2917</v>
      </c>
      <c r="F380" s="1">
        <v>250</v>
      </c>
      <c r="G380" s="1" t="s">
        <v>2890</v>
      </c>
      <c r="H380" s="1">
        <v>760</v>
      </c>
      <c r="I380" s="1" t="s">
        <v>1550</v>
      </c>
      <c r="J380" s="1">
        <v>8</v>
      </c>
      <c r="K380" s="1" t="s">
        <v>1771</v>
      </c>
      <c r="L380" s="1" t="s">
        <v>1771</v>
      </c>
    </row>
    <row r="381" spans="1:12">
      <c r="A381" s="172"/>
      <c r="B381" s="1" t="s">
        <v>3075</v>
      </c>
      <c r="C381" s="1">
        <v>85</v>
      </c>
      <c r="D381" s="1">
        <v>3</v>
      </c>
      <c r="E381" s="1" t="s">
        <v>1576</v>
      </c>
      <c r="F381" s="1">
        <v>30</v>
      </c>
      <c r="G381" s="1" t="s">
        <v>1579</v>
      </c>
      <c r="H381" s="1">
        <v>25</v>
      </c>
      <c r="I381" s="1" t="s">
        <v>2916</v>
      </c>
      <c r="J381" s="1">
        <v>5</v>
      </c>
      <c r="K381" s="1" t="s">
        <v>1550</v>
      </c>
      <c r="L381" s="1">
        <v>4</v>
      </c>
    </row>
    <row r="382" spans="1:12">
      <c r="A382" s="172"/>
      <c r="B382" s="1" t="s">
        <v>3076</v>
      </c>
      <c r="C382" s="1">
        <v>90</v>
      </c>
      <c r="D382" s="1">
        <v>3</v>
      </c>
      <c r="E382" s="1" t="s">
        <v>1576</v>
      </c>
      <c r="F382" s="1">
        <v>35</v>
      </c>
      <c r="G382" s="1" t="s">
        <v>1579</v>
      </c>
      <c r="H382" s="1">
        <v>30</v>
      </c>
      <c r="I382" s="1" t="s">
        <v>2916</v>
      </c>
      <c r="J382" s="1">
        <v>6</v>
      </c>
      <c r="K382" s="1" t="s">
        <v>1550</v>
      </c>
      <c r="L382" s="1">
        <v>5</v>
      </c>
    </row>
    <row r="383" spans="1:12">
      <c r="A383" s="172"/>
      <c r="B383" s="1" t="s">
        <v>3077</v>
      </c>
      <c r="C383" s="1">
        <v>95</v>
      </c>
      <c r="D383" s="1">
        <v>4</v>
      </c>
      <c r="E383" s="1" t="s">
        <v>1576</v>
      </c>
      <c r="F383" s="1">
        <v>40</v>
      </c>
      <c r="G383" s="1" t="s">
        <v>1579</v>
      </c>
      <c r="H383" s="1">
        <v>35</v>
      </c>
      <c r="I383" s="1" t="s">
        <v>2916</v>
      </c>
      <c r="J383" s="1">
        <v>7</v>
      </c>
      <c r="K383" s="1" t="s">
        <v>1550</v>
      </c>
      <c r="L383" s="1">
        <v>5</v>
      </c>
    </row>
    <row r="384" spans="1:12">
      <c r="A384" s="172"/>
      <c r="B384" s="2" t="s">
        <v>2430</v>
      </c>
      <c r="C384" s="2">
        <v>110</v>
      </c>
      <c r="D384" s="31"/>
      <c r="E384" s="31"/>
      <c r="F384" s="31"/>
      <c r="G384" s="31"/>
      <c r="H384" s="31"/>
      <c r="I384" s="31"/>
      <c r="J384" s="31"/>
      <c r="K384" s="31"/>
      <c r="L384" s="31"/>
    </row>
    <row r="385" spans="1:12">
      <c r="A385" s="172"/>
      <c r="B385" s="2" t="s">
        <v>2431</v>
      </c>
      <c r="C385" s="2">
        <v>120</v>
      </c>
      <c r="D385" s="31"/>
      <c r="E385" s="31"/>
      <c r="F385" s="31"/>
      <c r="G385" s="31"/>
      <c r="H385" s="31"/>
      <c r="I385" s="31"/>
      <c r="J385" s="31"/>
      <c r="K385" s="31"/>
      <c r="L385" s="31"/>
    </row>
    <row r="386" spans="1:12">
      <c r="A386" s="172"/>
      <c r="B386" s="2" t="s">
        <v>2432</v>
      </c>
      <c r="C386" s="2">
        <v>130</v>
      </c>
      <c r="D386" s="31"/>
      <c r="E386" s="31"/>
      <c r="F386" s="31"/>
      <c r="G386" s="31"/>
      <c r="H386" s="31"/>
      <c r="I386" s="31"/>
      <c r="J386" s="31"/>
      <c r="K386" s="31"/>
      <c r="L386" s="31"/>
    </row>
    <row r="387" spans="1:12">
      <c r="A387" s="172"/>
      <c r="B387" s="2" t="s">
        <v>1889</v>
      </c>
      <c r="C387" s="2">
        <v>140</v>
      </c>
      <c r="D387" s="31"/>
      <c r="E387" s="31"/>
      <c r="F387" s="31"/>
      <c r="G387" s="31"/>
      <c r="H387" s="31"/>
      <c r="I387" s="31"/>
      <c r="J387" s="31"/>
      <c r="K387" s="31"/>
      <c r="L387" s="31"/>
    </row>
    <row r="388" spans="1:12">
      <c r="A388" s="172"/>
      <c r="B388" s="2" t="s">
        <v>1890</v>
      </c>
      <c r="C388" s="2">
        <v>150</v>
      </c>
      <c r="D388" s="31"/>
      <c r="E388" s="31"/>
      <c r="F388" s="31"/>
      <c r="G388" s="31"/>
      <c r="H388" s="31"/>
      <c r="I388" s="31"/>
      <c r="J388" s="31"/>
      <c r="K388" s="31"/>
      <c r="L388" s="31"/>
    </row>
    <row r="389" spans="1:12">
      <c r="A389" s="172"/>
      <c r="B389" s="2"/>
      <c r="C389" s="2">
        <v>160</v>
      </c>
      <c r="D389" s="31"/>
      <c r="E389" s="31"/>
      <c r="F389" s="31"/>
      <c r="G389" s="31"/>
      <c r="H389" s="31"/>
      <c r="I389" s="31"/>
      <c r="J389" s="31"/>
      <c r="K389" s="31"/>
      <c r="L389" s="31"/>
    </row>
  </sheetData>
  <mergeCells count="18">
    <mergeCell ref="A361:A389"/>
    <mergeCell ref="A237:A248"/>
    <mergeCell ref="A250:A265"/>
    <mergeCell ref="A206:A217"/>
    <mergeCell ref="A219:A235"/>
    <mergeCell ref="A332:A359"/>
    <mergeCell ref="A267:A279"/>
    <mergeCell ref="A281:A296"/>
    <mergeCell ref="A148:A175"/>
    <mergeCell ref="A177:A204"/>
    <mergeCell ref="A298:A313"/>
    <mergeCell ref="A315:A330"/>
    <mergeCell ref="A1:L1"/>
    <mergeCell ref="A32:A59"/>
    <mergeCell ref="A61:A88"/>
    <mergeCell ref="A3:A30"/>
    <mergeCell ref="A121:A146"/>
    <mergeCell ref="A90:A11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W13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W1"/>
    </sheetView>
  </sheetViews>
  <sheetFormatPr defaultRowHeight="14.25"/>
  <cols>
    <col min="1" max="23" width="5.5" style="20" customWidth="1"/>
    <col min="24" max="16384" width="9" style="20"/>
  </cols>
  <sheetData>
    <row r="1" spans="1:23" ht="33">
      <c r="A1" s="142" t="s">
        <v>593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s="22" customFormat="1" ht="42.75">
      <c r="A2" s="12" t="s">
        <v>2263</v>
      </c>
      <c r="B2" s="12" t="s">
        <v>2264</v>
      </c>
      <c r="C2" s="12" t="s">
        <v>2265</v>
      </c>
      <c r="D2" s="12" t="s">
        <v>2266</v>
      </c>
      <c r="E2" s="12" t="s">
        <v>2267</v>
      </c>
      <c r="F2" s="12" t="s">
        <v>2268</v>
      </c>
      <c r="G2" s="12" t="s">
        <v>2269</v>
      </c>
      <c r="H2" s="12" t="s">
        <v>2273</v>
      </c>
      <c r="I2" s="12" t="s">
        <v>2270</v>
      </c>
      <c r="J2" s="12" t="s">
        <v>2271</v>
      </c>
      <c r="K2" s="12" t="s">
        <v>2272</v>
      </c>
      <c r="L2" s="12" t="s">
        <v>2274</v>
      </c>
      <c r="M2" s="12" t="s">
        <v>2275</v>
      </c>
      <c r="N2" s="12" t="s">
        <v>2276</v>
      </c>
      <c r="O2" s="12" t="s">
        <v>2277</v>
      </c>
      <c r="P2" s="12" t="s">
        <v>2278</v>
      </c>
      <c r="Q2" s="12" t="s">
        <v>2279</v>
      </c>
      <c r="R2" s="12" t="s">
        <v>2280</v>
      </c>
      <c r="S2" s="12" t="s">
        <v>2281</v>
      </c>
      <c r="T2" s="12" t="s">
        <v>2282</v>
      </c>
      <c r="U2" s="12" t="s">
        <v>2283</v>
      </c>
      <c r="V2" s="12" t="s">
        <v>2284</v>
      </c>
      <c r="W2" s="12" t="s">
        <v>2285</v>
      </c>
    </row>
    <row r="3" spans="1:23">
      <c r="A3" s="2">
        <v>1</v>
      </c>
      <c r="B3" s="2">
        <v>6</v>
      </c>
      <c r="C3" s="2">
        <v>6</v>
      </c>
      <c r="D3" s="2">
        <v>4</v>
      </c>
      <c r="E3" s="2">
        <v>4</v>
      </c>
      <c r="F3" s="2">
        <v>4</v>
      </c>
      <c r="G3" s="2">
        <v>4</v>
      </c>
      <c r="H3" s="2">
        <v>6</v>
      </c>
      <c r="I3" s="2">
        <v>2</v>
      </c>
      <c r="J3" s="2">
        <v>4</v>
      </c>
      <c r="K3" s="2">
        <v>4</v>
      </c>
      <c r="L3" s="2">
        <v>6</v>
      </c>
      <c r="M3" s="2">
        <v>4</v>
      </c>
      <c r="N3" s="2">
        <v>4</v>
      </c>
      <c r="O3" s="2">
        <v>4</v>
      </c>
      <c r="P3" s="2">
        <v>6</v>
      </c>
      <c r="Q3" s="2">
        <v>7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6</v>
      </c>
    </row>
    <row r="4" spans="1:23">
      <c r="A4" s="2">
        <v>2</v>
      </c>
      <c r="B4" s="2">
        <v>8</v>
      </c>
      <c r="C4" s="2">
        <v>8</v>
      </c>
      <c r="D4" s="2">
        <v>4</v>
      </c>
      <c r="E4" s="2">
        <v>4</v>
      </c>
      <c r="F4" s="2">
        <v>4</v>
      </c>
      <c r="G4" s="2">
        <v>4</v>
      </c>
      <c r="H4" s="2">
        <v>8</v>
      </c>
      <c r="I4" s="2">
        <v>2</v>
      </c>
      <c r="J4" s="2">
        <v>4</v>
      </c>
      <c r="K4" s="2">
        <v>4</v>
      </c>
      <c r="L4" s="2">
        <v>8</v>
      </c>
      <c r="M4" s="2">
        <v>4</v>
      </c>
      <c r="N4" s="2">
        <v>4</v>
      </c>
      <c r="O4" s="2">
        <v>4</v>
      </c>
      <c r="P4" s="2">
        <v>8</v>
      </c>
      <c r="Q4" s="2">
        <v>10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v>8</v>
      </c>
    </row>
    <row r="5" spans="1:23">
      <c r="A5" s="2">
        <v>3</v>
      </c>
      <c r="B5" s="2">
        <v>10</v>
      </c>
      <c r="C5" s="2">
        <v>10</v>
      </c>
      <c r="D5" s="2">
        <v>4</v>
      </c>
      <c r="E5" s="2">
        <v>4</v>
      </c>
      <c r="F5" s="2">
        <v>4</v>
      </c>
      <c r="G5" s="2">
        <v>4</v>
      </c>
      <c r="H5" s="2">
        <v>10</v>
      </c>
      <c r="I5" s="2">
        <v>2</v>
      </c>
      <c r="J5" s="2">
        <v>4</v>
      </c>
      <c r="K5" s="2">
        <v>4</v>
      </c>
      <c r="L5" s="2">
        <v>10</v>
      </c>
      <c r="M5" s="2">
        <v>4</v>
      </c>
      <c r="N5" s="2">
        <v>4</v>
      </c>
      <c r="O5" s="2">
        <v>4</v>
      </c>
      <c r="P5" s="2">
        <v>10</v>
      </c>
      <c r="Q5" s="2">
        <v>13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10</v>
      </c>
    </row>
    <row r="6" spans="1:23">
      <c r="A6" s="2">
        <v>4</v>
      </c>
      <c r="B6" s="2">
        <v>12</v>
      </c>
      <c r="C6" s="2">
        <v>12</v>
      </c>
      <c r="D6" s="2">
        <v>4</v>
      </c>
      <c r="E6" s="2">
        <v>4</v>
      </c>
      <c r="F6" s="2">
        <v>4</v>
      </c>
      <c r="G6" s="2">
        <v>4</v>
      </c>
      <c r="H6" s="2">
        <v>12</v>
      </c>
      <c r="I6" s="2">
        <v>2</v>
      </c>
      <c r="J6" s="2">
        <v>4</v>
      </c>
      <c r="K6" s="2">
        <v>4</v>
      </c>
      <c r="L6" s="2">
        <v>12</v>
      </c>
      <c r="M6" s="2">
        <v>4</v>
      </c>
      <c r="N6" s="2">
        <v>4</v>
      </c>
      <c r="O6" s="2">
        <v>4</v>
      </c>
      <c r="P6" s="2">
        <v>12</v>
      </c>
      <c r="Q6" s="2">
        <v>16</v>
      </c>
      <c r="R6" s="2">
        <v>4</v>
      </c>
      <c r="S6" s="2">
        <v>4</v>
      </c>
      <c r="T6" s="2">
        <v>4</v>
      </c>
      <c r="U6" s="2">
        <v>4</v>
      </c>
      <c r="V6" s="2">
        <v>4</v>
      </c>
      <c r="W6" s="2">
        <v>12</v>
      </c>
    </row>
    <row r="7" spans="1:23">
      <c r="A7" s="2">
        <v>5</v>
      </c>
      <c r="B7" s="2">
        <v>14</v>
      </c>
      <c r="C7" s="2">
        <v>14</v>
      </c>
      <c r="D7" s="2">
        <v>4</v>
      </c>
      <c r="E7" s="2">
        <v>4</v>
      </c>
      <c r="F7" s="2">
        <v>4</v>
      </c>
      <c r="G7" s="2">
        <v>4</v>
      </c>
      <c r="H7" s="2">
        <v>14</v>
      </c>
      <c r="I7" s="2">
        <v>2</v>
      </c>
      <c r="J7" s="2">
        <v>4</v>
      </c>
      <c r="K7" s="2">
        <v>4</v>
      </c>
      <c r="L7" s="2">
        <v>14</v>
      </c>
      <c r="M7" s="2">
        <v>4</v>
      </c>
      <c r="N7" s="2">
        <v>4</v>
      </c>
      <c r="O7" s="2">
        <v>4</v>
      </c>
      <c r="P7" s="2">
        <v>14</v>
      </c>
      <c r="Q7" s="2">
        <v>19</v>
      </c>
      <c r="R7" s="2">
        <v>4</v>
      </c>
      <c r="S7" s="2">
        <v>4</v>
      </c>
      <c r="T7" s="2">
        <v>4</v>
      </c>
      <c r="U7" s="2">
        <v>4</v>
      </c>
      <c r="V7" s="2">
        <v>4</v>
      </c>
      <c r="W7" s="2">
        <v>14</v>
      </c>
    </row>
    <row r="8" spans="1:23">
      <c r="A8" s="2">
        <v>6</v>
      </c>
      <c r="B8" s="2">
        <v>16</v>
      </c>
      <c r="C8" s="2">
        <v>16</v>
      </c>
      <c r="D8" s="2">
        <v>4</v>
      </c>
      <c r="E8" s="2">
        <v>4</v>
      </c>
      <c r="F8" s="2">
        <v>4</v>
      </c>
      <c r="G8" s="2">
        <v>4</v>
      </c>
      <c r="H8" s="2">
        <v>16</v>
      </c>
      <c r="I8" s="2">
        <v>2</v>
      </c>
      <c r="J8" s="2">
        <v>4</v>
      </c>
      <c r="K8" s="2">
        <v>4</v>
      </c>
      <c r="L8" s="2">
        <v>16</v>
      </c>
      <c r="M8" s="2">
        <v>4</v>
      </c>
      <c r="N8" s="2">
        <v>4</v>
      </c>
      <c r="O8" s="2">
        <v>4</v>
      </c>
      <c r="P8" s="2">
        <v>16</v>
      </c>
      <c r="Q8" s="2">
        <v>22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16</v>
      </c>
    </row>
    <row r="9" spans="1:23">
      <c r="A9" s="2">
        <v>7</v>
      </c>
      <c r="B9" s="2">
        <v>18</v>
      </c>
      <c r="C9" s="2">
        <v>18</v>
      </c>
      <c r="D9" s="2">
        <v>4</v>
      </c>
      <c r="E9" s="2">
        <v>4</v>
      </c>
      <c r="F9" s="2">
        <v>4</v>
      </c>
      <c r="G9" s="2">
        <v>4</v>
      </c>
      <c r="H9" s="2">
        <v>18</v>
      </c>
      <c r="I9" s="2">
        <v>2</v>
      </c>
      <c r="J9" s="2">
        <v>4</v>
      </c>
      <c r="K9" s="2">
        <v>4</v>
      </c>
      <c r="L9" s="2">
        <v>18</v>
      </c>
      <c r="M9" s="2">
        <v>4</v>
      </c>
      <c r="N9" s="2">
        <v>4</v>
      </c>
      <c r="O9" s="2">
        <v>4</v>
      </c>
      <c r="P9" s="2">
        <v>18</v>
      </c>
      <c r="Q9" s="2">
        <v>25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18</v>
      </c>
    </row>
    <row r="10" spans="1:23">
      <c r="A10" s="2">
        <v>8</v>
      </c>
      <c r="B10" s="2">
        <v>20</v>
      </c>
      <c r="C10" s="2">
        <v>20</v>
      </c>
      <c r="D10" s="2">
        <v>5</v>
      </c>
      <c r="E10" s="2">
        <v>5</v>
      </c>
      <c r="F10" s="2">
        <v>5</v>
      </c>
      <c r="G10" s="2">
        <v>5</v>
      </c>
      <c r="H10" s="2">
        <v>20</v>
      </c>
      <c r="I10" s="2">
        <v>2</v>
      </c>
      <c r="J10" s="2">
        <v>5</v>
      </c>
      <c r="K10" s="2">
        <v>5</v>
      </c>
      <c r="L10" s="2">
        <v>20</v>
      </c>
      <c r="M10" s="2">
        <v>5</v>
      </c>
      <c r="N10" s="2">
        <v>5</v>
      </c>
      <c r="O10" s="2">
        <v>5</v>
      </c>
      <c r="P10" s="2">
        <v>20</v>
      </c>
      <c r="Q10" s="2">
        <v>28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20</v>
      </c>
    </row>
    <row r="11" spans="1:23">
      <c r="A11" s="2">
        <v>9</v>
      </c>
      <c r="B11" s="2">
        <v>22</v>
      </c>
      <c r="C11" s="2">
        <v>22</v>
      </c>
      <c r="D11" s="2">
        <v>5</v>
      </c>
      <c r="E11" s="2">
        <v>5</v>
      </c>
      <c r="F11" s="2">
        <v>5</v>
      </c>
      <c r="G11" s="2">
        <v>5</v>
      </c>
      <c r="H11" s="2">
        <v>22</v>
      </c>
      <c r="I11" s="2">
        <v>2</v>
      </c>
      <c r="J11" s="2">
        <v>5</v>
      </c>
      <c r="K11" s="2">
        <v>5</v>
      </c>
      <c r="L11" s="2">
        <v>22</v>
      </c>
      <c r="M11" s="2">
        <v>5</v>
      </c>
      <c r="N11" s="2">
        <v>5</v>
      </c>
      <c r="O11" s="2">
        <v>5</v>
      </c>
      <c r="P11" s="2">
        <v>22</v>
      </c>
      <c r="Q11" s="2">
        <v>31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22</v>
      </c>
    </row>
    <row r="12" spans="1:23">
      <c r="A12" s="2">
        <v>10</v>
      </c>
      <c r="B12" s="2">
        <v>24</v>
      </c>
      <c r="C12" s="2">
        <v>24</v>
      </c>
      <c r="D12" s="2">
        <v>5</v>
      </c>
      <c r="E12" s="2">
        <v>5</v>
      </c>
      <c r="F12" s="2">
        <v>5</v>
      </c>
      <c r="G12" s="2">
        <v>5</v>
      </c>
      <c r="H12" s="2">
        <v>24</v>
      </c>
      <c r="I12" s="2">
        <v>3</v>
      </c>
      <c r="J12" s="2">
        <v>5</v>
      </c>
      <c r="K12" s="2">
        <v>5</v>
      </c>
      <c r="L12" s="2">
        <v>24</v>
      </c>
      <c r="M12" s="2">
        <v>5</v>
      </c>
      <c r="N12" s="2">
        <v>5</v>
      </c>
      <c r="O12" s="2">
        <v>5</v>
      </c>
      <c r="P12" s="2">
        <v>24</v>
      </c>
      <c r="Q12" s="2">
        <v>34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24</v>
      </c>
    </row>
    <row r="13" spans="1:23">
      <c r="A13" s="2">
        <v>11</v>
      </c>
      <c r="B13" s="2">
        <v>26</v>
      </c>
      <c r="C13" s="2">
        <v>26</v>
      </c>
      <c r="D13" s="2">
        <v>5</v>
      </c>
      <c r="E13" s="2">
        <v>5</v>
      </c>
      <c r="F13" s="2">
        <v>5</v>
      </c>
      <c r="G13" s="2">
        <v>5</v>
      </c>
      <c r="H13" s="2">
        <v>26</v>
      </c>
      <c r="I13" s="2">
        <v>3</v>
      </c>
      <c r="J13" s="2">
        <v>5</v>
      </c>
      <c r="K13" s="2">
        <v>5</v>
      </c>
      <c r="L13" s="2">
        <v>26</v>
      </c>
      <c r="M13" s="2">
        <v>5</v>
      </c>
      <c r="N13" s="2">
        <v>5</v>
      </c>
      <c r="O13" s="2">
        <v>5</v>
      </c>
      <c r="P13" s="2">
        <v>26</v>
      </c>
      <c r="Q13" s="2">
        <v>37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26</v>
      </c>
    </row>
    <row r="14" spans="1:23">
      <c r="A14" s="2">
        <v>12</v>
      </c>
      <c r="B14" s="2">
        <v>28</v>
      </c>
      <c r="C14" s="2">
        <v>28</v>
      </c>
      <c r="D14" s="2">
        <v>5</v>
      </c>
      <c r="E14" s="2">
        <v>5</v>
      </c>
      <c r="F14" s="2">
        <v>5</v>
      </c>
      <c r="G14" s="2">
        <v>5</v>
      </c>
      <c r="H14" s="2">
        <v>28</v>
      </c>
      <c r="I14" s="2">
        <v>3</v>
      </c>
      <c r="J14" s="2">
        <v>5</v>
      </c>
      <c r="K14" s="2">
        <v>5</v>
      </c>
      <c r="L14" s="2">
        <v>28</v>
      </c>
      <c r="M14" s="2">
        <v>5</v>
      </c>
      <c r="N14" s="2">
        <v>5</v>
      </c>
      <c r="O14" s="2">
        <v>5</v>
      </c>
      <c r="P14" s="2">
        <v>28</v>
      </c>
      <c r="Q14" s="2">
        <v>40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28</v>
      </c>
    </row>
    <row r="15" spans="1:23">
      <c r="A15" s="2">
        <v>13</v>
      </c>
      <c r="B15" s="2">
        <v>30</v>
      </c>
      <c r="C15" s="2">
        <v>30</v>
      </c>
      <c r="D15" s="2">
        <v>5</v>
      </c>
      <c r="E15" s="2">
        <v>5</v>
      </c>
      <c r="F15" s="2">
        <v>5</v>
      </c>
      <c r="G15" s="2">
        <v>5</v>
      </c>
      <c r="H15" s="2">
        <v>30</v>
      </c>
      <c r="I15" s="2">
        <v>3</v>
      </c>
      <c r="J15" s="2">
        <v>5</v>
      </c>
      <c r="K15" s="2">
        <v>5</v>
      </c>
      <c r="L15" s="2">
        <v>30</v>
      </c>
      <c r="M15" s="2">
        <v>5</v>
      </c>
      <c r="N15" s="2">
        <v>5</v>
      </c>
      <c r="O15" s="2">
        <v>5</v>
      </c>
      <c r="P15" s="2">
        <v>30</v>
      </c>
      <c r="Q15" s="2">
        <v>43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  <c r="W15" s="2">
        <v>30</v>
      </c>
    </row>
    <row r="16" spans="1:23">
      <c r="A16" s="2">
        <v>14</v>
      </c>
      <c r="B16" s="2">
        <v>32</v>
      </c>
      <c r="C16" s="2">
        <v>32</v>
      </c>
      <c r="D16" s="2">
        <v>5</v>
      </c>
      <c r="E16" s="2">
        <v>5</v>
      </c>
      <c r="F16" s="2">
        <v>5</v>
      </c>
      <c r="G16" s="2">
        <v>5</v>
      </c>
      <c r="H16" s="2">
        <v>32</v>
      </c>
      <c r="I16" s="2">
        <v>3</v>
      </c>
      <c r="J16" s="2">
        <v>5</v>
      </c>
      <c r="K16" s="2">
        <v>5</v>
      </c>
      <c r="L16" s="2">
        <v>32</v>
      </c>
      <c r="M16" s="2">
        <v>5</v>
      </c>
      <c r="N16" s="2">
        <v>5</v>
      </c>
      <c r="O16" s="2">
        <v>5</v>
      </c>
      <c r="P16" s="2">
        <v>32</v>
      </c>
      <c r="Q16" s="2">
        <v>46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32</v>
      </c>
    </row>
    <row r="17" spans="1:23">
      <c r="A17" s="2">
        <v>15</v>
      </c>
      <c r="B17" s="2">
        <v>34</v>
      </c>
      <c r="C17" s="2">
        <v>34</v>
      </c>
      <c r="D17" s="2">
        <v>5</v>
      </c>
      <c r="E17" s="2">
        <v>5</v>
      </c>
      <c r="F17" s="2">
        <v>5</v>
      </c>
      <c r="G17" s="2">
        <v>5</v>
      </c>
      <c r="H17" s="2">
        <v>34</v>
      </c>
      <c r="I17" s="2">
        <v>3</v>
      </c>
      <c r="J17" s="2">
        <v>5</v>
      </c>
      <c r="K17" s="2">
        <v>5</v>
      </c>
      <c r="L17" s="2">
        <v>34</v>
      </c>
      <c r="M17" s="2">
        <v>5</v>
      </c>
      <c r="N17" s="2">
        <v>5</v>
      </c>
      <c r="O17" s="2">
        <v>5</v>
      </c>
      <c r="P17" s="2">
        <v>34</v>
      </c>
      <c r="Q17" s="2">
        <v>49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34</v>
      </c>
    </row>
    <row r="18" spans="1:23">
      <c r="A18" s="2">
        <v>16</v>
      </c>
      <c r="B18" s="2">
        <v>36</v>
      </c>
      <c r="C18" s="2">
        <v>36</v>
      </c>
      <c r="D18" s="2">
        <v>6</v>
      </c>
      <c r="E18" s="2">
        <v>6</v>
      </c>
      <c r="F18" s="2">
        <v>6</v>
      </c>
      <c r="G18" s="2">
        <v>6</v>
      </c>
      <c r="H18" s="2">
        <v>36</v>
      </c>
      <c r="I18" s="2">
        <v>3</v>
      </c>
      <c r="J18" s="2">
        <v>6</v>
      </c>
      <c r="K18" s="2">
        <v>6</v>
      </c>
      <c r="L18" s="2">
        <v>36</v>
      </c>
      <c r="M18" s="2">
        <v>6</v>
      </c>
      <c r="N18" s="2">
        <v>6</v>
      </c>
      <c r="O18" s="2">
        <v>6</v>
      </c>
      <c r="P18" s="2">
        <v>36</v>
      </c>
      <c r="Q18" s="2">
        <v>52</v>
      </c>
      <c r="R18" s="2">
        <v>6</v>
      </c>
      <c r="S18" s="2">
        <v>6</v>
      </c>
      <c r="T18" s="2">
        <v>6</v>
      </c>
      <c r="U18" s="2">
        <v>6</v>
      </c>
      <c r="V18" s="2">
        <v>6</v>
      </c>
      <c r="W18" s="2">
        <v>36</v>
      </c>
    </row>
    <row r="19" spans="1:23">
      <c r="A19" s="2">
        <v>17</v>
      </c>
      <c r="B19" s="2">
        <v>38</v>
      </c>
      <c r="C19" s="2">
        <v>38</v>
      </c>
      <c r="D19" s="2">
        <v>6</v>
      </c>
      <c r="E19" s="2">
        <v>6</v>
      </c>
      <c r="F19" s="2">
        <v>6</v>
      </c>
      <c r="G19" s="2">
        <v>6</v>
      </c>
      <c r="H19" s="2">
        <v>38</v>
      </c>
      <c r="I19" s="2">
        <v>3</v>
      </c>
      <c r="J19" s="2">
        <v>6</v>
      </c>
      <c r="K19" s="2">
        <v>6</v>
      </c>
      <c r="L19" s="2">
        <v>38</v>
      </c>
      <c r="M19" s="2">
        <v>6</v>
      </c>
      <c r="N19" s="2">
        <v>6</v>
      </c>
      <c r="O19" s="2">
        <v>6</v>
      </c>
      <c r="P19" s="2">
        <v>38</v>
      </c>
      <c r="Q19" s="2">
        <v>55</v>
      </c>
      <c r="R19" s="2">
        <v>6</v>
      </c>
      <c r="S19" s="2">
        <v>6</v>
      </c>
      <c r="T19" s="2">
        <v>6</v>
      </c>
      <c r="U19" s="2">
        <v>6</v>
      </c>
      <c r="V19" s="2">
        <v>6</v>
      </c>
      <c r="W19" s="2">
        <v>38</v>
      </c>
    </row>
    <row r="20" spans="1:23">
      <c r="A20" s="2">
        <v>18</v>
      </c>
      <c r="B20" s="2">
        <v>40</v>
      </c>
      <c r="C20" s="2">
        <v>40</v>
      </c>
      <c r="D20" s="2">
        <v>6</v>
      </c>
      <c r="E20" s="2">
        <v>6</v>
      </c>
      <c r="F20" s="2">
        <v>6</v>
      </c>
      <c r="G20" s="2">
        <v>6</v>
      </c>
      <c r="H20" s="2">
        <v>40</v>
      </c>
      <c r="I20" s="2">
        <v>3</v>
      </c>
      <c r="J20" s="2">
        <v>6</v>
      </c>
      <c r="K20" s="2">
        <v>6</v>
      </c>
      <c r="L20" s="2">
        <v>40</v>
      </c>
      <c r="M20" s="2">
        <v>6</v>
      </c>
      <c r="N20" s="2">
        <v>6</v>
      </c>
      <c r="O20" s="2">
        <v>6</v>
      </c>
      <c r="P20" s="2">
        <v>40</v>
      </c>
      <c r="Q20" s="2">
        <v>58</v>
      </c>
      <c r="R20" s="2">
        <v>6</v>
      </c>
      <c r="S20" s="2">
        <v>6</v>
      </c>
      <c r="T20" s="2">
        <v>6</v>
      </c>
      <c r="U20" s="2">
        <v>6</v>
      </c>
      <c r="V20" s="2">
        <v>6</v>
      </c>
      <c r="W20" s="2">
        <v>40</v>
      </c>
    </row>
    <row r="21" spans="1:23">
      <c r="A21" s="2">
        <v>19</v>
      </c>
      <c r="B21" s="2">
        <v>42</v>
      </c>
      <c r="C21" s="2">
        <v>42</v>
      </c>
      <c r="D21" s="2">
        <v>6</v>
      </c>
      <c r="E21" s="2">
        <v>6</v>
      </c>
      <c r="F21" s="2">
        <v>6</v>
      </c>
      <c r="G21" s="2">
        <v>6</v>
      </c>
      <c r="H21" s="2">
        <v>42</v>
      </c>
      <c r="I21" s="2">
        <v>3</v>
      </c>
      <c r="J21" s="2">
        <v>6</v>
      </c>
      <c r="K21" s="2">
        <v>6</v>
      </c>
      <c r="L21" s="2">
        <v>42</v>
      </c>
      <c r="M21" s="2">
        <v>6</v>
      </c>
      <c r="N21" s="2">
        <v>6</v>
      </c>
      <c r="O21" s="2">
        <v>6</v>
      </c>
      <c r="P21" s="2">
        <v>42</v>
      </c>
      <c r="Q21" s="2">
        <v>61</v>
      </c>
      <c r="R21" s="2">
        <v>6</v>
      </c>
      <c r="S21" s="2">
        <v>6</v>
      </c>
      <c r="T21" s="2">
        <v>6</v>
      </c>
      <c r="U21" s="2">
        <v>6</v>
      </c>
      <c r="V21" s="2">
        <v>6</v>
      </c>
      <c r="W21" s="2">
        <v>42</v>
      </c>
    </row>
    <row r="22" spans="1:23">
      <c r="A22" s="2">
        <v>20</v>
      </c>
      <c r="B22" s="2">
        <v>44</v>
      </c>
      <c r="C22" s="2">
        <v>44</v>
      </c>
      <c r="D22" s="2">
        <v>6</v>
      </c>
      <c r="E22" s="2">
        <v>6</v>
      </c>
      <c r="F22" s="2">
        <v>6</v>
      </c>
      <c r="G22" s="2">
        <v>6</v>
      </c>
      <c r="H22" s="2">
        <v>44</v>
      </c>
      <c r="I22" s="2">
        <v>4</v>
      </c>
      <c r="J22" s="2">
        <v>6</v>
      </c>
      <c r="K22" s="2">
        <v>6</v>
      </c>
      <c r="L22" s="2">
        <v>44</v>
      </c>
      <c r="M22" s="2">
        <v>6</v>
      </c>
      <c r="N22" s="2">
        <v>6</v>
      </c>
      <c r="O22" s="2">
        <v>6</v>
      </c>
      <c r="P22" s="2">
        <v>44</v>
      </c>
      <c r="Q22" s="2">
        <v>64</v>
      </c>
      <c r="R22" s="2">
        <v>6</v>
      </c>
      <c r="S22" s="2">
        <v>6</v>
      </c>
      <c r="T22" s="2">
        <v>6</v>
      </c>
      <c r="U22" s="2">
        <v>6</v>
      </c>
      <c r="V22" s="2">
        <v>6</v>
      </c>
      <c r="W22" s="2">
        <v>44</v>
      </c>
    </row>
    <row r="23" spans="1:23">
      <c r="A23" s="2">
        <v>21</v>
      </c>
      <c r="B23" s="2">
        <v>46</v>
      </c>
      <c r="C23" s="2">
        <v>46</v>
      </c>
      <c r="D23" s="2">
        <v>6</v>
      </c>
      <c r="E23" s="2">
        <v>6</v>
      </c>
      <c r="F23" s="2">
        <v>6</v>
      </c>
      <c r="G23" s="2">
        <v>6</v>
      </c>
      <c r="H23" s="2">
        <v>46</v>
      </c>
      <c r="I23" s="2">
        <v>4</v>
      </c>
      <c r="J23" s="2">
        <v>6</v>
      </c>
      <c r="K23" s="2">
        <v>6</v>
      </c>
      <c r="L23" s="2">
        <v>46</v>
      </c>
      <c r="M23" s="2">
        <v>6</v>
      </c>
      <c r="N23" s="2">
        <v>6</v>
      </c>
      <c r="O23" s="2">
        <v>6</v>
      </c>
      <c r="P23" s="2">
        <v>46</v>
      </c>
      <c r="Q23" s="2">
        <v>67</v>
      </c>
      <c r="R23" s="2">
        <v>6</v>
      </c>
      <c r="S23" s="2">
        <v>6</v>
      </c>
      <c r="T23" s="2">
        <v>6</v>
      </c>
      <c r="U23" s="2">
        <v>6</v>
      </c>
      <c r="V23" s="2">
        <v>6</v>
      </c>
      <c r="W23" s="2">
        <v>46</v>
      </c>
    </row>
    <row r="24" spans="1:23">
      <c r="A24" s="2">
        <v>22</v>
      </c>
      <c r="B24" s="2">
        <v>48</v>
      </c>
      <c r="C24" s="2">
        <v>48</v>
      </c>
      <c r="D24" s="2">
        <v>6</v>
      </c>
      <c r="E24" s="2">
        <v>6</v>
      </c>
      <c r="F24" s="2">
        <v>6</v>
      </c>
      <c r="G24" s="2">
        <v>6</v>
      </c>
      <c r="H24" s="2">
        <v>48</v>
      </c>
      <c r="I24" s="2">
        <v>4</v>
      </c>
      <c r="J24" s="2">
        <v>6</v>
      </c>
      <c r="K24" s="2">
        <v>6</v>
      </c>
      <c r="L24" s="2">
        <v>48</v>
      </c>
      <c r="M24" s="2">
        <v>6</v>
      </c>
      <c r="N24" s="2">
        <v>6</v>
      </c>
      <c r="O24" s="2">
        <v>6</v>
      </c>
      <c r="P24" s="2">
        <v>48</v>
      </c>
      <c r="Q24" s="2">
        <v>70</v>
      </c>
      <c r="R24" s="2">
        <v>6</v>
      </c>
      <c r="S24" s="2">
        <v>6</v>
      </c>
      <c r="T24" s="2">
        <v>6</v>
      </c>
      <c r="U24" s="2">
        <v>6</v>
      </c>
      <c r="V24" s="2">
        <v>6</v>
      </c>
      <c r="W24" s="2">
        <v>48</v>
      </c>
    </row>
    <row r="25" spans="1:23">
      <c r="A25" s="2">
        <v>23</v>
      </c>
      <c r="B25" s="2">
        <v>50</v>
      </c>
      <c r="C25" s="2">
        <v>50</v>
      </c>
      <c r="D25" s="2">
        <v>6</v>
      </c>
      <c r="E25" s="2">
        <v>6</v>
      </c>
      <c r="F25" s="2">
        <v>6</v>
      </c>
      <c r="G25" s="2">
        <v>6</v>
      </c>
      <c r="H25" s="2">
        <v>50</v>
      </c>
      <c r="I25" s="2">
        <v>4</v>
      </c>
      <c r="J25" s="2">
        <v>6</v>
      </c>
      <c r="K25" s="2">
        <v>6</v>
      </c>
      <c r="L25" s="2">
        <v>50</v>
      </c>
      <c r="M25" s="2">
        <v>6</v>
      </c>
      <c r="N25" s="2">
        <v>6</v>
      </c>
      <c r="O25" s="2">
        <v>6</v>
      </c>
      <c r="P25" s="2">
        <v>50</v>
      </c>
      <c r="Q25" s="2">
        <v>73</v>
      </c>
      <c r="R25" s="2">
        <v>6</v>
      </c>
      <c r="S25" s="2">
        <v>6</v>
      </c>
      <c r="T25" s="2">
        <v>6</v>
      </c>
      <c r="U25" s="2">
        <v>6</v>
      </c>
      <c r="V25" s="2">
        <v>6</v>
      </c>
      <c r="W25" s="2">
        <v>50</v>
      </c>
    </row>
    <row r="26" spans="1:23">
      <c r="A26" s="2">
        <v>24</v>
      </c>
      <c r="B26" s="2">
        <v>52</v>
      </c>
      <c r="C26" s="2">
        <v>52</v>
      </c>
      <c r="D26" s="2">
        <v>7</v>
      </c>
      <c r="E26" s="2">
        <v>7</v>
      </c>
      <c r="F26" s="2">
        <v>7</v>
      </c>
      <c r="G26" s="2">
        <v>7</v>
      </c>
      <c r="H26" s="2">
        <v>52</v>
      </c>
      <c r="I26" s="2">
        <v>4</v>
      </c>
      <c r="J26" s="2">
        <v>7</v>
      </c>
      <c r="K26" s="2">
        <v>7</v>
      </c>
      <c r="L26" s="2">
        <v>52</v>
      </c>
      <c r="M26" s="2">
        <v>7</v>
      </c>
      <c r="N26" s="2">
        <v>7</v>
      </c>
      <c r="O26" s="2">
        <v>7</v>
      </c>
      <c r="P26" s="2">
        <v>52</v>
      </c>
      <c r="Q26" s="2">
        <v>76</v>
      </c>
      <c r="R26" s="2">
        <v>7</v>
      </c>
      <c r="S26" s="2">
        <v>7</v>
      </c>
      <c r="T26" s="2">
        <v>7</v>
      </c>
      <c r="U26" s="2">
        <v>7</v>
      </c>
      <c r="V26" s="2">
        <v>7</v>
      </c>
      <c r="W26" s="2">
        <v>52</v>
      </c>
    </row>
    <row r="27" spans="1:23">
      <c r="A27" s="2">
        <v>25</v>
      </c>
      <c r="B27" s="2">
        <v>54</v>
      </c>
      <c r="C27" s="2">
        <v>54</v>
      </c>
      <c r="D27" s="2">
        <v>7</v>
      </c>
      <c r="E27" s="2">
        <v>7</v>
      </c>
      <c r="F27" s="2">
        <v>7</v>
      </c>
      <c r="G27" s="2">
        <v>7</v>
      </c>
      <c r="H27" s="2">
        <v>54</v>
      </c>
      <c r="I27" s="2">
        <v>4</v>
      </c>
      <c r="J27" s="2">
        <v>7</v>
      </c>
      <c r="K27" s="2">
        <v>7</v>
      </c>
      <c r="L27" s="2">
        <v>54</v>
      </c>
      <c r="M27" s="2">
        <v>7</v>
      </c>
      <c r="N27" s="2">
        <v>7</v>
      </c>
      <c r="O27" s="2">
        <v>7</v>
      </c>
      <c r="P27" s="2">
        <v>54</v>
      </c>
      <c r="Q27" s="2">
        <v>79</v>
      </c>
      <c r="R27" s="2">
        <v>7</v>
      </c>
      <c r="S27" s="2">
        <v>7</v>
      </c>
      <c r="T27" s="2">
        <v>7</v>
      </c>
      <c r="U27" s="2">
        <v>7</v>
      </c>
      <c r="V27" s="2">
        <v>7</v>
      </c>
      <c r="W27" s="2">
        <v>54</v>
      </c>
    </row>
    <row r="28" spans="1:23">
      <c r="A28" s="2">
        <v>26</v>
      </c>
      <c r="B28" s="2">
        <v>56</v>
      </c>
      <c r="C28" s="2">
        <v>56</v>
      </c>
      <c r="D28" s="2">
        <v>7</v>
      </c>
      <c r="E28" s="2">
        <v>7</v>
      </c>
      <c r="F28" s="2">
        <v>7</v>
      </c>
      <c r="G28" s="2">
        <v>7</v>
      </c>
      <c r="H28" s="2">
        <v>56</v>
      </c>
      <c r="I28" s="2">
        <v>4</v>
      </c>
      <c r="J28" s="2">
        <v>7</v>
      </c>
      <c r="K28" s="2">
        <v>7</v>
      </c>
      <c r="L28" s="2">
        <v>56</v>
      </c>
      <c r="M28" s="2">
        <v>7</v>
      </c>
      <c r="N28" s="2">
        <v>7</v>
      </c>
      <c r="O28" s="2">
        <v>7</v>
      </c>
      <c r="P28" s="2">
        <v>56</v>
      </c>
      <c r="Q28" s="2">
        <v>82</v>
      </c>
      <c r="R28" s="2">
        <v>7</v>
      </c>
      <c r="S28" s="2">
        <v>7</v>
      </c>
      <c r="T28" s="2">
        <v>7</v>
      </c>
      <c r="U28" s="2">
        <v>7</v>
      </c>
      <c r="V28" s="2">
        <v>7</v>
      </c>
      <c r="W28" s="2">
        <v>56</v>
      </c>
    </row>
    <row r="29" spans="1:23">
      <c r="A29" s="2">
        <v>27</v>
      </c>
      <c r="B29" s="2">
        <v>58</v>
      </c>
      <c r="C29" s="2">
        <v>58</v>
      </c>
      <c r="D29" s="2">
        <v>7</v>
      </c>
      <c r="E29" s="2">
        <v>7</v>
      </c>
      <c r="F29" s="2">
        <v>7</v>
      </c>
      <c r="G29" s="2">
        <v>7</v>
      </c>
      <c r="H29" s="2">
        <v>58</v>
      </c>
      <c r="I29" s="2">
        <v>4</v>
      </c>
      <c r="J29" s="2">
        <v>7</v>
      </c>
      <c r="K29" s="2">
        <v>7</v>
      </c>
      <c r="L29" s="2">
        <v>58</v>
      </c>
      <c r="M29" s="2">
        <v>7</v>
      </c>
      <c r="N29" s="2">
        <v>7</v>
      </c>
      <c r="O29" s="2">
        <v>7</v>
      </c>
      <c r="P29" s="2">
        <v>58</v>
      </c>
      <c r="Q29" s="2">
        <v>85</v>
      </c>
      <c r="R29" s="2">
        <v>7</v>
      </c>
      <c r="S29" s="2">
        <v>7</v>
      </c>
      <c r="T29" s="2">
        <v>7</v>
      </c>
      <c r="U29" s="2">
        <v>7</v>
      </c>
      <c r="V29" s="2">
        <v>7</v>
      </c>
      <c r="W29" s="2">
        <v>58</v>
      </c>
    </row>
    <row r="30" spans="1:23">
      <c r="A30" s="2">
        <v>28</v>
      </c>
      <c r="B30" s="2">
        <v>60</v>
      </c>
      <c r="C30" s="2">
        <v>60</v>
      </c>
      <c r="D30" s="2">
        <v>7</v>
      </c>
      <c r="E30" s="2">
        <v>7</v>
      </c>
      <c r="F30" s="2">
        <v>7</v>
      </c>
      <c r="G30" s="2">
        <v>7</v>
      </c>
      <c r="H30" s="2">
        <v>60</v>
      </c>
      <c r="I30" s="2">
        <v>4</v>
      </c>
      <c r="J30" s="2">
        <v>7</v>
      </c>
      <c r="K30" s="2">
        <v>7</v>
      </c>
      <c r="L30" s="2">
        <v>60</v>
      </c>
      <c r="M30" s="2">
        <v>7</v>
      </c>
      <c r="N30" s="2">
        <v>7</v>
      </c>
      <c r="O30" s="2">
        <v>7</v>
      </c>
      <c r="P30" s="2">
        <v>60</v>
      </c>
      <c r="Q30" s="2">
        <v>88</v>
      </c>
      <c r="R30" s="2">
        <v>7</v>
      </c>
      <c r="S30" s="2">
        <v>7</v>
      </c>
      <c r="T30" s="2">
        <v>7</v>
      </c>
      <c r="U30" s="2">
        <v>7</v>
      </c>
      <c r="V30" s="2">
        <v>7</v>
      </c>
      <c r="W30" s="2">
        <v>60</v>
      </c>
    </row>
    <row r="31" spans="1:23">
      <c r="A31" s="2">
        <v>29</v>
      </c>
      <c r="B31" s="2">
        <v>62</v>
      </c>
      <c r="C31" s="2">
        <v>62</v>
      </c>
      <c r="D31" s="2">
        <v>7</v>
      </c>
      <c r="E31" s="2">
        <v>7</v>
      </c>
      <c r="F31" s="2">
        <v>7</v>
      </c>
      <c r="G31" s="2">
        <v>7</v>
      </c>
      <c r="H31" s="2">
        <v>62</v>
      </c>
      <c r="I31" s="2">
        <v>4</v>
      </c>
      <c r="J31" s="2">
        <v>7</v>
      </c>
      <c r="K31" s="2">
        <v>7</v>
      </c>
      <c r="L31" s="2">
        <v>62</v>
      </c>
      <c r="M31" s="2">
        <v>7</v>
      </c>
      <c r="N31" s="2">
        <v>7</v>
      </c>
      <c r="O31" s="2">
        <v>7</v>
      </c>
      <c r="P31" s="2">
        <v>62</v>
      </c>
      <c r="Q31" s="2">
        <v>91</v>
      </c>
      <c r="R31" s="2">
        <v>7</v>
      </c>
      <c r="S31" s="2">
        <v>7</v>
      </c>
      <c r="T31" s="2">
        <v>7</v>
      </c>
      <c r="U31" s="2">
        <v>7</v>
      </c>
      <c r="V31" s="2">
        <v>7</v>
      </c>
      <c r="W31" s="2">
        <v>62</v>
      </c>
    </row>
    <row r="32" spans="1:23">
      <c r="A32" s="2">
        <v>30</v>
      </c>
      <c r="B32" s="2">
        <v>64</v>
      </c>
      <c r="C32" s="2">
        <v>64</v>
      </c>
      <c r="D32" s="2">
        <v>7</v>
      </c>
      <c r="E32" s="2">
        <v>7</v>
      </c>
      <c r="F32" s="2">
        <v>7</v>
      </c>
      <c r="G32" s="2">
        <v>7</v>
      </c>
      <c r="H32" s="2">
        <v>64</v>
      </c>
      <c r="I32" s="2">
        <v>5</v>
      </c>
      <c r="J32" s="2">
        <v>7</v>
      </c>
      <c r="K32" s="2">
        <v>7</v>
      </c>
      <c r="L32" s="2">
        <v>64</v>
      </c>
      <c r="M32" s="2">
        <v>7</v>
      </c>
      <c r="N32" s="2">
        <v>7</v>
      </c>
      <c r="O32" s="2">
        <v>7</v>
      </c>
      <c r="P32" s="2">
        <v>64</v>
      </c>
      <c r="Q32" s="2">
        <v>94</v>
      </c>
      <c r="R32" s="2">
        <v>7</v>
      </c>
      <c r="S32" s="2">
        <v>7</v>
      </c>
      <c r="T32" s="2">
        <v>7</v>
      </c>
      <c r="U32" s="2">
        <v>7</v>
      </c>
      <c r="V32" s="2">
        <v>7</v>
      </c>
      <c r="W32" s="2">
        <v>64</v>
      </c>
    </row>
    <row r="33" spans="1:23">
      <c r="A33" s="2">
        <v>31</v>
      </c>
      <c r="B33" s="2">
        <v>66</v>
      </c>
      <c r="C33" s="2">
        <v>66</v>
      </c>
      <c r="D33" s="2">
        <v>7</v>
      </c>
      <c r="E33" s="2">
        <v>7</v>
      </c>
      <c r="F33" s="2">
        <v>7</v>
      </c>
      <c r="G33" s="2">
        <v>7</v>
      </c>
      <c r="H33" s="2">
        <v>66</v>
      </c>
      <c r="I33" s="2">
        <v>5</v>
      </c>
      <c r="J33" s="2">
        <v>7</v>
      </c>
      <c r="K33" s="2">
        <v>7</v>
      </c>
      <c r="L33" s="2">
        <v>66</v>
      </c>
      <c r="M33" s="2">
        <v>7</v>
      </c>
      <c r="N33" s="2">
        <v>7</v>
      </c>
      <c r="O33" s="2">
        <v>7</v>
      </c>
      <c r="P33" s="2">
        <v>66</v>
      </c>
      <c r="Q33" s="2">
        <v>97</v>
      </c>
      <c r="R33" s="2">
        <v>7</v>
      </c>
      <c r="S33" s="2">
        <v>7</v>
      </c>
      <c r="T33" s="2">
        <v>7</v>
      </c>
      <c r="U33" s="2">
        <v>7</v>
      </c>
      <c r="V33" s="2">
        <v>7</v>
      </c>
      <c r="W33" s="2">
        <v>66</v>
      </c>
    </row>
    <row r="34" spans="1:23">
      <c r="A34" s="2">
        <v>32</v>
      </c>
      <c r="B34" s="2">
        <v>68</v>
      </c>
      <c r="C34" s="2">
        <v>68</v>
      </c>
      <c r="D34" s="2">
        <v>8</v>
      </c>
      <c r="E34" s="2">
        <v>8</v>
      </c>
      <c r="F34" s="2">
        <v>8</v>
      </c>
      <c r="G34" s="2">
        <v>8</v>
      </c>
      <c r="H34" s="2">
        <v>68</v>
      </c>
      <c r="I34" s="2">
        <v>5</v>
      </c>
      <c r="J34" s="2">
        <v>8</v>
      </c>
      <c r="K34" s="2">
        <v>8</v>
      </c>
      <c r="L34" s="2">
        <v>68</v>
      </c>
      <c r="M34" s="2">
        <v>8</v>
      </c>
      <c r="N34" s="2">
        <v>8</v>
      </c>
      <c r="O34" s="2">
        <v>8</v>
      </c>
      <c r="P34" s="2">
        <v>68</v>
      </c>
      <c r="Q34" s="2">
        <v>100</v>
      </c>
      <c r="R34" s="2">
        <v>8</v>
      </c>
      <c r="S34" s="2">
        <v>8</v>
      </c>
      <c r="T34" s="2">
        <v>8</v>
      </c>
      <c r="U34" s="2">
        <v>8</v>
      </c>
      <c r="V34" s="2">
        <v>8</v>
      </c>
      <c r="W34" s="2">
        <v>68</v>
      </c>
    </row>
    <row r="35" spans="1:23">
      <c r="A35" s="2">
        <v>33</v>
      </c>
      <c r="B35" s="2">
        <v>70</v>
      </c>
      <c r="C35" s="2">
        <v>70</v>
      </c>
      <c r="D35" s="2">
        <v>8</v>
      </c>
      <c r="E35" s="2">
        <v>8</v>
      </c>
      <c r="F35" s="2">
        <v>8</v>
      </c>
      <c r="G35" s="2">
        <v>8</v>
      </c>
      <c r="H35" s="2">
        <v>70</v>
      </c>
      <c r="I35" s="2">
        <v>5</v>
      </c>
      <c r="J35" s="2">
        <v>8</v>
      </c>
      <c r="K35" s="2">
        <v>8</v>
      </c>
      <c r="L35" s="2">
        <v>70</v>
      </c>
      <c r="M35" s="2">
        <v>8</v>
      </c>
      <c r="N35" s="2">
        <v>8</v>
      </c>
      <c r="O35" s="2">
        <v>8</v>
      </c>
      <c r="P35" s="2">
        <v>70</v>
      </c>
      <c r="Q35" s="2">
        <v>103</v>
      </c>
      <c r="R35" s="2">
        <v>8</v>
      </c>
      <c r="S35" s="2">
        <v>8</v>
      </c>
      <c r="T35" s="2">
        <v>8</v>
      </c>
      <c r="U35" s="2">
        <v>8</v>
      </c>
      <c r="V35" s="2">
        <v>8</v>
      </c>
      <c r="W35" s="2">
        <v>70</v>
      </c>
    </row>
    <row r="36" spans="1:23">
      <c r="A36" s="2">
        <v>34</v>
      </c>
      <c r="B36" s="2">
        <v>72</v>
      </c>
      <c r="C36" s="2">
        <v>72</v>
      </c>
      <c r="D36" s="2">
        <v>8</v>
      </c>
      <c r="E36" s="2">
        <v>8</v>
      </c>
      <c r="F36" s="2">
        <v>8</v>
      </c>
      <c r="G36" s="2">
        <v>8</v>
      </c>
      <c r="H36" s="2">
        <v>72</v>
      </c>
      <c r="I36" s="2">
        <v>5</v>
      </c>
      <c r="J36" s="2">
        <v>8</v>
      </c>
      <c r="K36" s="2">
        <v>8</v>
      </c>
      <c r="L36" s="2">
        <v>72</v>
      </c>
      <c r="M36" s="2">
        <v>8</v>
      </c>
      <c r="N36" s="2">
        <v>8</v>
      </c>
      <c r="O36" s="2">
        <v>8</v>
      </c>
      <c r="P36" s="2">
        <v>72</v>
      </c>
      <c r="Q36" s="2">
        <v>106</v>
      </c>
      <c r="R36" s="2">
        <v>8</v>
      </c>
      <c r="S36" s="2">
        <v>8</v>
      </c>
      <c r="T36" s="2">
        <v>8</v>
      </c>
      <c r="U36" s="2">
        <v>8</v>
      </c>
      <c r="V36" s="2">
        <v>8</v>
      </c>
      <c r="W36" s="2">
        <v>72</v>
      </c>
    </row>
    <row r="37" spans="1:23">
      <c r="A37" s="2">
        <v>35</v>
      </c>
      <c r="B37" s="2">
        <v>74</v>
      </c>
      <c r="C37" s="2">
        <v>74</v>
      </c>
      <c r="D37" s="2">
        <v>8</v>
      </c>
      <c r="E37" s="2">
        <v>8</v>
      </c>
      <c r="F37" s="2">
        <v>8</v>
      </c>
      <c r="G37" s="2">
        <v>8</v>
      </c>
      <c r="H37" s="2">
        <v>74</v>
      </c>
      <c r="I37" s="2">
        <v>5</v>
      </c>
      <c r="J37" s="2">
        <v>8</v>
      </c>
      <c r="K37" s="2">
        <v>8</v>
      </c>
      <c r="L37" s="2">
        <v>74</v>
      </c>
      <c r="M37" s="2">
        <v>8</v>
      </c>
      <c r="N37" s="2">
        <v>8</v>
      </c>
      <c r="O37" s="2">
        <v>8</v>
      </c>
      <c r="P37" s="2">
        <v>74</v>
      </c>
      <c r="Q37" s="2">
        <v>109</v>
      </c>
      <c r="R37" s="2">
        <v>8</v>
      </c>
      <c r="S37" s="2">
        <v>8</v>
      </c>
      <c r="T37" s="2">
        <v>8</v>
      </c>
      <c r="U37" s="2">
        <v>8</v>
      </c>
      <c r="V37" s="2">
        <v>8</v>
      </c>
      <c r="W37" s="2">
        <v>74</v>
      </c>
    </row>
    <row r="38" spans="1:23">
      <c r="A38" s="2">
        <v>36</v>
      </c>
      <c r="B38" s="2">
        <v>76</v>
      </c>
      <c r="C38" s="2">
        <v>76</v>
      </c>
      <c r="D38" s="2">
        <v>8</v>
      </c>
      <c r="E38" s="2">
        <v>8</v>
      </c>
      <c r="F38" s="2">
        <v>8</v>
      </c>
      <c r="G38" s="2">
        <v>8</v>
      </c>
      <c r="H38" s="2">
        <v>76</v>
      </c>
      <c r="I38" s="2">
        <v>5</v>
      </c>
      <c r="J38" s="2">
        <v>8</v>
      </c>
      <c r="K38" s="2">
        <v>8</v>
      </c>
      <c r="L38" s="2">
        <v>76</v>
      </c>
      <c r="M38" s="2">
        <v>8</v>
      </c>
      <c r="N38" s="2">
        <v>8</v>
      </c>
      <c r="O38" s="2">
        <v>8</v>
      </c>
      <c r="P38" s="2">
        <v>76</v>
      </c>
      <c r="Q38" s="2">
        <v>112</v>
      </c>
      <c r="R38" s="2">
        <v>8</v>
      </c>
      <c r="S38" s="2">
        <v>8</v>
      </c>
      <c r="T38" s="2">
        <v>8</v>
      </c>
      <c r="U38" s="2">
        <v>8</v>
      </c>
      <c r="V38" s="2">
        <v>8</v>
      </c>
      <c r="W38" s="2">
        <v>76</v>
      </c>
    </row>
    <row r="39" spans="1:23">
      <c r="A39" s="2">
        <v>37</v>
      </c>
      <c r="B39" s="2">
        <v>78</v>
      </c>
      <c r="C39" s="2">
        <v>78</v>
      </c>
      <c r="D39" s="2">
        <v>8</v>
      </c>
      <c r="E39" s="2">
        <v>8</v>
      </c>
      <c r="F39" s="2">
        <v>8</v>
      </c>
      <c r="G39" s="2">
        <v>8</v>
      </c>
      <c r="H39" s="2">
        <v>78</v>
      </c>
      <c r="I39" s="2">
        <v>5</v>
      </c>
      <c r="J39" s="2">
        <v>8</v>
      </c>
      <c r="K39" s="2">
        <v>8</v>
      </c>
      <c r="L39" s="2">
        <v>78</v>
      </c>
      <c r="M39" s="2">
        <v>8</v>
      </c>
      <c r="N39" s="2">
        <v>8</v>
      </c>
      <c r="O39" s="2">
        <v>8</v>
      </c>
      <c r="P39" s="2">
        <v>78</v>
      </c>
      <c r="Q39" s="2">
        <v>115</v>
      </c>
      <c r="R39" s="2">
        <v>8</v>
      </c>
      <c r="S39" s="2">
        <v>8</v>
      </c>
      <c r="T39" s="2">
        <v>8</v>
      </c>
      <c r="U39" s="2">
        <v>8</v>
      </c>
      <c r="V39" s="2">
        <v>8</v>
      </c>
      <c r="W39" s="2">
        <v>78</v>
      </c>
    </row>
    <row r="40" spans="1:23">
      <c r="A40" s="2">
        <v>38</v>
      </c>
      <c r="B40" s="2">
        <v>80</v>
      </c>
      <c r="C40" s="2">
        <v>80</v>
      </c>
      <c r="D40" s="2">
        <v>8</v>
      </c>
      <c r="E40" s="2">
        <v>8</v>
      </c>
      <c r="F40" s="2">
        <v>8</v>
      </c>
      <c r="G40" s="2">
        <v>8</v>
      </c>
      <c r="H40" s="2">
        <v>80</v>
      </c>
      <c r="I40" s="2">
        <v>5</v>
      </c>
      <c r="J40" s="2">
        <v>8</v>
      </c>
      <c r="K40" s="2">
        <v>8</v>
      </c>
      <c r="L40" s="2">
        <v>80</v>
      </c>
      <c r="M40" s="2">
        <v>8</v>
      </c>
      <c r="N40" s="2">
        <v>8</v>
      </c>
      <c r="O40" s="2">
        <v>8</v>
      </c>
      <c r="P40" s="2">
        <v>80</v>
      </c>
      <c r="Q40" s="2">
        <v>118</v>
      </c>
      <c r="R40" s="2">
        <v>8</v>
      </c>
      <c r="S40" s="2">
        <v>8</v>
      </c>
      <c r="T40" s="2">
        <v>8</v>
      </c>
      <c r="U40" s="2">
        <v>8</v>
      </c>
      <c r="V40" s="2">
        <v>8</v>
      </c>
      <c r="W40" s="2">
        <v>80</v>
      </c>
    </row>
    <row r="41" spans="1:23">
      <c r="A41" s="2">
        <v>39</v>
      </c>
      <c r="B41" s="2">
        <v>82</v>
      </c>
      <c r="C41" s="2">
        <v>82</v>
      </c>
      <c r="D41" s="2">
        <v>8</v>
      </c>
      <c r="E41" s="2">
        <v>8</v>
      </c>
      <c r="F41" s="2">
        <v>8</v>
      </c>
      <c r="G41" s="2">
        <v>8</v>
      </c>
      <c r="H41" s="2">
        <v>82</v>
      </c>
      <c r="I41" s="2">
        <v>5</v>
      </c>
      <c r="J41" s="2">
        <v>8</v>
      </c>
      <c r="K41" s="2">
        <v>8</v>
      </c>
      <c r="L41" s="2">
        <v>82</v>
      </c>
      <c r="M41" s="2">
        <v>8</v>
      </c>
      <c r="N41" s="2">
        <v>8</v>
      </c>
      <c r="O41" s="2">
        <v>8</v>
      </c>
      <c r="P41" s="2">
        <v>82</v>
      </c>
      <c r="Q41" s="2">
        <v>121</v>
      </c>
      <c r="R41" s="2">
        <v>8</v>
      </c>
      <c r="S41" s="2">
        <v>8</v>
      </c>
      <c r="T41" s="2">
        <v>8</v>
      </c>
      <c r="U41" s="2">
        <v>8</v>
      </c>
      <c r="V41" s="2">
        <v>8</v>
      </c>
      <c r="W41" s="2">
        <v>82</v>
      </c>
    </row>
    <row r="42" spans="1:23">
      <c r="A42" s="2">
        <v>40</v>
      </c>
      <c r="B42" s="2">
        <v>84</v>
      </c>
      <c r="C42" s="2">
        <v>84</v>
      </c>
      <c r="D42" s="2">
        <v>9</v>
      </c>
      <c r="E42" s="2">
        <v>9</v>
      </c>
      <c r="F42" s="2">
        <v>9</v>
      </c>
      <c r="G42" s="2">
        <v>9</v>
      </c>
      <c r="H42" s="2">
        <v>84</v>
      </c>
      <c r="I42" s="2">
        <v>6</v>
      </c>
      <c r="J42" s="2">
        <v>9</v>
      </c>
      <c r="K42" s="2">
        <v>9</v>
      </c>
      <c r="L42" s="2">
        <v>84</v>
      </c>
      <c r="M42" s="2">
        <v>9</v>
      </c>
      <c r="N42" s="2">
        <v>9</v>
      </c>
      <c r="O42" s="2">
        <v>9</v>
      </c>
      <c r="P42" s="2">
        <v>84</v>
      </c>
      <c r="Q42" s="2">
        <v>124</v>
      </c>
      <c r="R42" s="2">
        <v>9</v>
      </c>
      <c r="S42" s="2">
        <v>9</v>
      </c>
      <c r="T42" s="2">
        <v>9</v>
      </c>
      <c r="U42" s="2">
        <v>9</v>
      </c>
      <c r="V42" s="2">
        <v>9</v>
      </c>
      <c r="W42" s="2">
        <v>84</v>
      </c>
    </row>
    <row r="43" spans="1:23">
      <c r="A43" s="2">
        <v>41</v>
      </c>
      <c r="B43" s="2">
        <v>86</v>
      </c>
      <c r="C43" s="2">
        <v>86</v>
      </c>
      <c r="D43" s="2">
        <v>9</v>
      </c>
      <c r="E43" s="2">
        <v>9</v>
      </c>
      <c r="F43" s="2">
        <v>9</v>
      </c>
      <c r="G43" s="2">
        <v>9</v>
      </c>
      <c r="H43" s="2">
        <v>86</v>
      </c>
      <c r="I43" s="2">
        <v>6</v>
      </c>
      <c r="J43" s="2">
        <v>9</v>
      </c>
      <c r="K43" s="2">
        <v>9</v>
      </c>
      <c r="L43" s="2">
        <v>86</v>
      </c>
      <c r="M43" s="2">
        <v>9</v>
      </c>
      <c r="N43" s="2">
        <v>9</v>
      </c>
      <c r="O43" s="2">
        <v>9</v>
      </c>
      <c r="P43" s="2">
        <v>86</v>
      </c>
      <c r="Q43" s="2">
        <v>127</v>
      </c>
      <c r="R43" s="2">
        <v>9</v>
      </c>
      <c r="S43" s="2">
        <v>9</v>
      </c>
      <c r="T43" s="2">
        <v>9</v>
      </c>
      <c r="U43" s="2">
        <v>9</v>
      </c>
      <c r="V43" s="2">
        <v>9</v>
      </c>
      <c r="W43" s="2">
        <v>86</v>
      </c>
    </row>
    <row r="44" spans="1:23">
      <c r="A44" s="2">
        <v>42</v>
      </c>
      <c r="B44" s="2">
        <v>88</v>
      </c>
      <c r="C44" s="2">
        <v>88</v>
      </c>
      <c r="D44" s="2">
        <v>9</v>
      </c>
      <c r="E44" s="2">
        <v>9</v>
      </c>
      <c r="F44" s="2">
        <v>9</v>
      </c>
      <c r="G44" s="2">
        <v>9</v>
      </c>
      <c r="H44" s="2">
        <v>88</v>
      </c>
      <c r="I44" s="2">
        <v>6</v>
      </c>
      <c r="J44" s="2">
        <v>9</v>
      </c>
      <c r="K44" s="2">
        <v>9</v>
      </c>
      <c r="L44" s="2">
        <v>88</v>
      </c>
      <c r="M44" s="2">
        <v>9</v>
      </c>
      <c r="N44" s="2">
        <v>9</v>
      </c>
      <c r="O44" s="2">
        <v>9</v>
      </c>
      <c r="P44" s="2">
        <v>88</v>
      </c>
      <c r="Q44" s="2">
        <v>130</v>
      </c>
      <c r="R44" s="2">
        <v>9</v>
      </c>
      <c r="S44" s="2">
        <v>9</v>
      </c>
      <c r="T44" s="2">
        <v>9</v>
      </c>
      <c r="U44" s="2">
        <v>9</v>
      </c>
      <c r="V44" s="2">
        <v>9</v>
      </c>
      <c r="W44" s="2">
        <v>88</v>
      </c>
    </row>
    <row r="45" spans="1:23">
      <c r="A45" s="2">
        <v>43</v>
      </c>
      <c r="B45" s="2">
        <v>90</v>
      </c>
      <c r="C45" s="2">
        <v>90</v>
      </c>
      <c r="D45" s="2">
        <v>9</v>
      </c>
      <c r="E45" s="2">
        <v>9</v>
      </c>
      <c r="F45" s="2">
        <v>9</v>
      </c>
      <c r="G45" s="2">
        <v>9</v>
      </c>
      <c r="H45" s="2">
        <v>90</v>
      </c>
      <c r="I45" s="2">
        <v>6</v>
      </c>
      <c r="J45" s="2">
        <v>9</v>
      </c>
      <c r="K45" s="2">
        <v>9</v>
      </c>
      <c r="L45" s="2">
        <v>90</v>
      </c>
      <c r="M45" s="2">
        <v>9</v>
      </c>
      <c r="N45" s="2">
        <v>9</v>
      </c>
      <c r="O45" s="2">
        <v>9</v>
      </c>
      <c r="P45" s="2">
        <v>90</v>
      </c>
      <c r="Q45" s="2">
        <v>133</v>
      </c>
      <c r="R45" s="2">
        <v>9</v>
      </c>
      <c r="S45" s="2">
        <v>9</v>
      </c>
      <c r="T45" s="2">
        <v>9</v>
      </c>
      <c r="U45" s="2">
        <v>9</v>
      </c>
      <c r="V45" s="2">
        <v>9</v>
      </c>
      <c r="W45" s="2">
        <v>90</v>
      </c>
    </row>
    <row r="46" spans="1:23">
      <c r="A46" s="2">
        <v>44</v>
      </c>
      <c r="B46" s="2">
        <v>92</v>
      </c>
      <c r="C46" s="2">
        <v>92</v>
      </c>
      <c r="D46" s="2">
        <v>9</v>
      </c>
      <c r="E46" s="2">
        <v>9</v>
      </c>
      <c r="F46" s="2">
        <v>9</v>
      </c>
      <c r="G46" s="2">
        <v>9</v>
      </c>
      <c r="H46" s="2">
        <v>92</v>
      </c>
      <c r="I46" s="2">
        <v>6</v>
      </c>
      <c r="J46" s="2">
        <v>9</v>
      </c>
      <c r="K46" s="2">
        <v>9</v>
      </c>
      <c r="L46" s="2">
        <v>92</v>
      </c>
      <c r="M46" s="2">
        <v>9</v>
      </c>
      <c r="N46" s="2">
        <v>9</v>
      </c>
      <c r="O46" s="2">
        <v>9</v>
      </c>
      <c r="P46" s="2">
        <v>92</v>
      </c>
      <c r="Q46" s="2">
        <v>136</v>
      </c>
      <c r="R46" s="2">
        <v>9</v>
      </c>
      <c r="S46" s="2">
        <v>9</v>
      </c>
      <c r="T46" s="2">
        <v>9</v>
      </c>
      <c r="U46" s="2">
        <v>9</v>
      </c>
      <c r="V46" s="2">
        <v>9</v>
      </c>
      <c r="W46" s="2">
        <v>92</v>
      </c>
    </row>
    <row r="47" spans="1:23">
      <c r="A47" s="2">
        <v>45</v>
      </c>
      <c r="B47" s="2">
        <v>94</v>
      </c>
      <c r="C47" s="2">
        <v>94</v>
      </c>
      <c r="D47" s="2">
        <v>9</v>
      </c>
      <c r="E47" s="2">
        <v>9</v>
      </c>
      <c r="F47" s="2">
        <v>9</v>
      </c>
      <c r="G47" s="2">
        <v>9</v>
      </c>
      <c r="H47" s="2">
        <v>94</v>
      </c>
      <c r="I47" s="2">
        <v>6</v>
      </c>
      <c r="J47" s="2">
        <v>9</v>
      </c>
      <c r="K47" s="2">
        <v>9</v>
      </c>
      <c r="L47" s="2">
        <v>94</v>
      </c>
      <c r="M47" s="2">
        <v>9</v>
      </c>
      <c r="N47" s="2">
        <v>9</v>
      </c>
      <c r="O47" s="2">
        <v>9</v>
      </c>
      <c r="P47" s="2">
        <v>94</v>
      </c>
      <c r="Q47" s="2">
        <v>139</v>
      </c>
      <c r="R47" s="2">
        <v>9</v>
      </c>
      <c r="S47" s="2">
        <v>9</v>
      </c>
      <c r="T47" s="2">
        <v>9</v>
      </c>
      <c r="U47" s="2">
        <v>9</v>
      </c>
      <c r="V47" s="2">
        <v>9</v>
      </c>
      <c r="W47" s="2">
        <v>94</v>
      </c>
    </row>
    <row r="48" spans="1:23">
      <c r="A48" s="2">
        <v>46</v>
      </c>
      <c r="B48" s="2">
        <v>96</v>
      </c>
      <c r="C48" s="2">
        <v>96</v>
      </c>
      <c r="D48" s="2">
        <v>9</v>
      </c>
      <c r="E48" s="2">
        <v>9</v>
      </c>
      <c r="F48" s="2">
        <v>9</v>
      </c>
      <c r="G48" s="2">
        <v>9</v>
      </c>
      <c r="H48" s="2">
        <v>96</v>
      </c>
      <c r="I48" s="2">
        <v>6</v>
      </c>
      <c r="J48" s="2">
        <v>9</v>
      </c>
      <c r="K48" s="2">
        <v>9</v>
      </c>
      <c r="L48" s="2">
        <v>96</v>
      </c>
      <c r="M48" s="2">
        <v>9</v>
      </c>
      <c r="N48" s="2">
        <v>9</v>
      </c>
      <c r="O48" s="2">
        <v>9</v>
      </c>
      <c r="P48" s="2">
        <v>96</v>
      </c>
      <c r="Q48" s="2">
        <v>142</v>
      </c>
      <c r="R48" s="2">
        <v>9</v>
      </c>
      <c r="S48" s="2">
        <v>9</v>
      </c>
      <c r="T48" s="2">
        <v>9</v>
      </c>
      <c r="U48" s="2">
        <v>9</v>
      </c>
      <c r="V48" s="2">
        <v>9</v>
      </c>
      <c r="W48" s="2">
        <v>96</v>
      </c>
    </row>
    <row r="49" spans="1:23">
      <c r="A49" s="2">
        <v>47</v>
      </c>
      <c r="B49" s="2">
        <v>98</v>
      </c>
      <c r="C49" s="2">
        <v>98</v>
      </c>
      <c r="D49" s="2">
        <v>9</v>
      </c>
      <c r="E49" s="2">
        <v>9</v>
      </c>
      <c r="F49" s="2">
        <v>9</v>
      </c>
      <c r="G49" s="2">
        <v>9</v>
      </c>
      <c r="H49" s="2">
        <v>98</v>
      </c>
      <c r="I49" s="2">
        <v>6</v>
      </c>
      <c r="J49" s="2">
        <v>9</v>
      </c>
      <c r="K49" s="2">
        <v>9</v>
      </c>
      <c r="L49" s="2">
        <v>98</v>
      </c>
      <c r="M49" s="2">
        <v>9</v>
      </c>
      <c r="N49" s="2">
        <v>9</v>
      </c>
      <c r="O49" s="2">
        <v>9</v>
      </c>
      <c r="P49" s="2">
        <v>98</v>
      </c>
      <c r="Q49" s="2">
        <v>145</v>
      </c>
      <c r="R49" s="2">
        <v>9</v>
      </c>
      <c r="S49" s="2">
        <v>9</v>
      </c>
      <c r="T49" s="2">
        <v>9</v>
      </c>
      <c r="U49" s="2">
        <v>9</v>
      </c>
      <c r="V49" s="2">
        <v>9</v>
      </c>
      <c r="W49" s="2">
        <v>98</v>
      </c>
    </row>
    <row r="50" spans="1:23">
      <c r="A50" s="2">
        <v>48</v>
      </c>
      <c r="B50" s="2">
        <v>100</v>
      </c>
      <c r="C50" s="2">
        <v>100</v>
      </c>
      <c r="D50" s="2">
        <v>10</v>
      </c>
      <c r="E50" s="2">
        <v>10</v>
      </c>
      <c r="F50" s="2">
        <v>10</v>
      </c>
      <c r="G50" s="2">
        <v>10</v>
      </c>
      <c r="H50" s="2">
        <v>100</v>
      </c>
      <c r="I50" s="2">
        <v>6</v>
      </c>
      <c r="J50" s="2">
        <v>10</v>
      </c>
      <c r="K50" s="2">
        <v>10</v>
      </c>
      <c r="L50" s="2">
        <v>100</v>
      </c>
      <c r="M50" s="2">
        <v>10</v>
      </c>
      <c r="N50" s="2">
        <v>10</v>
      </c>
      <c r="O50" s="2">
        <v>10</v>
      </c>
      <c r="P50" s="2">
        <v>100</v>
      </c>
      <c r="Q50" s="2">
        <v>148</v>
      </c>
      <c r="R50" s="2">
        <v>10</v>
      </c>
      <c r="S50" s="2">
        <v>10</v>
      </c>
      <c r="T50" s="2">
        <v>10</v>
      </c>
      <c r="U50" s="2">
        <v>10</v>
      </c>
      <c r="V50" s="2">
        <v>10</v>
      </c>
      <c r="W50" s="2">
        <v>100</v>
      </c>
    </row>
    <row r="51" spans="1:23">
      <c r="A51" s="2">
        <v>49</v>
      </c>
      <c r="B51" s="2">
        <v>102</v>
      </c>
      <c r="C51" s="2">
        <v>102</v>
      </c>
      <c r="D51" s="2">
        <v>10</v>
      </c>
      <c r="E51" s="2">
        <v>10</v>
      </c>
      <c r="F51" s="2">
        <v>10</v>
      </c>
      <c r="G51" s="2">
        <v>10</v>
      </c>
      <c r="H51" s="2">
        <v>102</v>
      </c>
      <c r="I51" s="2">
        <v>6</v>
      </c>
      <c r="J51" s="2">
        <v>10</v>
      </c>
      <c r="K51" s="2">
        <v>10</v>
      </c>
      <c r="L51" s="2">
        <v>102</v>
      </c>
      <c r="M51" s="2">
        <v>10</v>
      </c>
      <c r="N51" s="2">
        <v>10</v>
      </c>
      <c r="O51" s="2">
        <v>10</v>
      </c>
      <c r="P51" s="2">
        <v>102</v>
      </c>
      <c r="Q51" s="2">
        <v>151</v>
      </c>
      <c r="R51" s="2">
        <v>10</v>
      </c>
      <c r="S51" s="2">
        <v>10</v>
      </c>
      <c r="T51" s="2">
        <v>10</v>
      </c>
      <c r="U51" s="2">
        <v>10</v>
      </c>
      <c r="V51" s="2">
        <v>10</v>
      </c>
      <c r="W51" s="2">
        <v>102</v>
      </c>
    </row>
    <row r="52" spans="1:23">
      <c r="A52" s="2">
        <v>50</v>
      </c>
      <c r="B52" s="2">
        <v>104</v>
      </c>
      <c r="C52" s="2">
        <v>104</v>
      </c>
      <c r="D52" s="2">
        <v>10</v>
      </c>
      <c r="E52" s="2">
        <v>10</v>
      </c>
      <c r="F52" s="2">
        <v>10</v>
      </c>
      <c r="G52" s="2">
        <v>10</v>
      </c>
      <c r="H52" s="2">
        <v>104</v>
      </c>
      <c r="I52" s="2">
        <v>7</v>
      </c>
      <c r="J52" s="2">
        <v>10</v>
      </c>
      <c r="K52" s="2">
        <v>10</v>
      </c>
      <c r="L52" s="2">
        <v>104</v>
      </c>
      <c r="M52" s="2">
        <v>10</v>
      </c>
      <c r="N52" s="2">
        <v>10</v>
      </c>
      <c r="O52" s="2">
        <v>10</v>
      </c>
      <c r="P52" s="2">
        <v>104</v>
      </c>
      <c r="Q52" s="2">
        <v>154</v>
      </c>
      <c r="R52" s="2">
        <v>10</v>
      </c>
      <c r="S52" s="2">
        <v>10</v>
      </c>
      <c r="T52" s="2">
        <v>10</v>
      </c>
      <c r="U52" s="2">
        <v>10</v>
      </c>
      <c r="V52" s="2">
        <v>10</v>
      </c>
      <c r="W52" s="2">
        <v>104</v>
      </c>
    </row>
    <row r="53" spans="1:23">
      <c r="A53" s="2">
        <v>51</v>
      </c>
      <c r="B53" s="2">
        <v>106</v>
      </c>
      <c r="C53" s="2">
        <v>106</v>
      </c>
      <c r="D53" s="2">
        <v>10</v>
      </c>
      <c r="E53" s="2">
        <v>10</v>
      </c>
      <c r="F53" s="2">
        <v>10</v>
      </c>
      <c r="G53" s="2">
        <v>10</v>
      </c>
      <c r="H53" s="2">
        <v>106</v>
      </c>
      <c r="I53" s="2">
        <v>7</v>
      </c>
      <c r="J53" s="2">
        <v>10</v>
      </c>
      <c r="K53" s="2">
        <v>10</v>
      </c>
      <c r="L53" s="2">
        <v>106</v>
      </c>
      <c r="M53" s="2">
        <v>10</v>
      </c>
      <c r="N53" s="2">
        <v>10</v>
      </c>
      <c r="O53" s="2">
        <v>10</v>
      </c>
      <c r="P53" s="2">
        <v>106</v>
      </c>
      <c r="Q53" s="2">
        <v>157</v>
      </c>
      <c r="R53" s="2">
        <v>10</v>
      </c>
      <c r="S53" s="2">
        <v>10</v>
      </c>
      <c r="T53" s="2">
        <v>10</v>
      </c>
      <c r="U53" s="2">
        <v>10</v>
      </c>
      <c r="V53" s="2">
        <v>10</v>
      </c>
      <c r="W53" s="2">
        <v>106</v>
      </c>
    </row>
    <row r="54" spans="1:23">
      <c r="A54" s="2">
        <v>52</v>
      </c>
      <c r="B54" s="2">
        <v>108</v>
      </c>
      <c r="C54" s="2">
        <v>108</v>
      </c>
      <c r="D54" s="2">
        <v>10</v>
      </c>
      <c r="E54" s="2">
        <v>10</v>
      </c>
      <c r="F54" s="2">
        <v>10</v>
      </c>
      <c r="G54" s="2">
        <v>10</v>
      </c>
      <c r="H54" s="2">
        <v>108</v>
      </c>
      <c r="I54" s="2">
        <v>7</v>
      </c>
      <c r="J54" s="2">
        <v>10</v>
      </c>
      <c r="K54" s="2">
        <v>10</v>
      </c>
      <c r="L54" s="2">
        <v>108</v>
      </c>
      <c r="M54" s="2">
        <v>10</v>
      </c>
      <c r="N54" s="2">
        <v>10</v>
      </c>
      <c r="O54" s="2">
        <v>10</v>
      </c>
      <c r="P54" s="2">
        <v>108</v>
      </c>
      <c r="Q54" s="2">
        <v>160</v>
      </c>
      <c r="R54" s="2">
        <v>10</v>
      </c>
      <c r="S54" s="2">
        <v>10</v>
      </c>
      <c r="T54" s="2">
        <v>10</v>
      </c>
      <c r="U54" s="2">
        <v>10</v>
      </c>
      <c r="V54" s="2">
        <v>10</v>
      </c>
      <c r="W54" s="2">
        <v>108</v>
      </c>
    </row>
    <row r="55" spans="1:23">
      <c r="A55" s="2">
        <v>53</v>
      </c>
      <c r="B55" s="2">
        <v>110</v>
      </c>
      <c r="C55" s="2">
        <v>110</v>
      </c>
      <c r="D55" s="2">
        <v>10</v>
      </c>
      <c r="E55" s="2">
        <v>10</v>
      </c>
      <c r="F55" s="2">
        <v>10</v>
      </c>
      <c r="G55" s="2">
        <v>10</v>
      </c>
      <c r="H55" s="2">
        <v>110</v>
      </c>
      <c r="I55" s="2">
        <v>7</v>
      </c>
      <c r="J55" s="2">
        <v>10</v>
      </c>
      <c r="K55" s="2">
        <v>10</v>
      </c>
      <c r="L55" s="2">
        <v>110</v>
      </c>
      <c r="M55" s="2">
        <v>10</v>
      </c>
      <c r="N55" s="2">
        <v>10</v>
      </c>
      <c r="O55" s="2">
        <v>10</v>
      </c>
      <c r="P55" s="2">
        <v>110</v>
      </c>
      <c r="Q55" s="2">
        <v>163</v>
      </c>
      <c r="R55" s="2">
        <v>10</v>
      </c>
      <c r="S55" s="2">
        <v>10</v>
      </c>
      <c r="T55" s="2">
        <v>10</v>
      </c>
      <c r="U55" s="2">
        <v>10</v>
      </c>
      <c r="V55" s="2">
        <v>10</v>
      </c>
      <c r="W55" s="2">
        <v>110</v>
      </c>
    </row>
    <row r="56" spans="1:23">
      <c r="A56" s="2">
        <v>54</v>
      </c>
      <c r="B56" s="2">
        <v>112</v>
      </c>
      <c r="C56" s="2">
        <v>112</v>
      </c>
      <c r="D56" s="2">
        <v>10</v>
      </c>
      <c r="E56" s="2">
        <v>10</v>
      </c>
      <c r="F56" s="2">
        <v>10</v>
      </c>
      <c r="G56" s="2">
        <v>10</v>
      </c>
      <c r="H56" s="2">
        <v>112</v>
      </c>
      <c r="I56" s="2">
        <v>7</v>
      </c>
      <c r="J56" s="2">
        <v>10</v>
      </c>
      <c r="K56" s="2">
        <v>10</v>
      </c>
      <c r="L56" s="2">
        <v>112</v>
      </c>
      <c r="M56" s="2">
        <v>10</v>
      </c>
      <c r="N56" s="2">
        <v>10</v>
      </c>
      <c r="O56" s="2">
        <v>10</v>
      </c>
      <c r="P56" s="2">
        <v>112</v>
      </c>
      <c r="Q56" s="2">
        <v>166</v>
      </c>
      <c r="R56" s="2">
        <v>10</v>
      </c>
      <c r="S56" s="2">
        <v>10</v>
      </c>
      <c r="T56" s="2">
        <v>10</v>
      </c>
      <c r="U56" s="2">
        <v>10</v>
      </c>
      <c r="V56" s="2">
        <v>10</v>
      </c>
      <c r="W56" s="2">
        <v>112</v>
      </c>
    </row>
    <row r="57" spans="1:23">
      <c r="A57" s="2">
        <v>55</v>
      </c>
      <c r="B57" s="2">
        <v>114</v>
      </c>
      <c r="C57" s="2">
        <v>114</v>
      </c>
      <c r="D57" s="2">
        <v>10</v>
      </c>
      <c r="E57" s="2">
        <v>10</v>
      </c>
      <c r="F57" s="2">
        <v>10</v>
      </c>
      <c r="G57" s="2">
        <v>10</v>
      </c>
      <c r="H57" s="2">
        <v>114</v>
      </c>
      <c r="I57" s="2">
        <v>7</v>
      </c>
      <c r="J57" s="2">
        <v>10</v>
      </c>
      <c r="K57" s="2">
        <v>10</v>
      </c>
      <c r="L57" s="2">
        <v>114</v>
      </c>
      <c r="M57" s="2">
        <v>10</v>
      </c>
      <c r="N57" s="2">
        <v>10</v>
      </c>
      <c r="O57" s="2">
        <v>10</v>
      </c>
      <c r="P57" s="2">
        <v>114</v>
      </c>
      <c r="Q57" s="2">
        <v>169</v>
      </c>
      <c r="R57" s="2">
        <v>10</v>
      </c>
      <c r="S57" s="2">
        <v>10</v>
      </c>
      <c r="T57" s="2">
        <v>10</v>
      </c>
      <c r="U57" s="2">
        <v>10</v>
      </c>
      <c r="V57" s="2">
        <v>10</v>
      </c>
      <c r="W57" s="2">
        <v>114</v>
      </c>
    </row>
    <row r="58" spans="1:23">
      <c r="A58" s="2">
        <v>56</v>
      </c>
      <c r="B58" s="2">
        <v>116</v>
      </c>
      <c r="C58" s="2">
        <v>116</v>
      </c>
      <c r="D58" s="2">
        <v>11</v>
      </c>
      <c r="E58" s="2">
        <v>11</v>
      </c>
      <c r="F58" s="2">
        <v>11</v>
      </c>
      <c r="G58" s="2">
        <v>11</v>
      </c>
      <c r="H58" s="2">
        <v>116</v>
      </c>
      <c r="I58" s="2">
        <v>7</v>
      </c>
      <c r="J58" s="2">
        <v>11</v>
      </c>
      <c r="K58" s="2">
        <v>11</v>
      </c>
      <c r="L58" s="2">
        <v>116</v>
      </c>
      <c r="M58" s="2">
        <v>11</v>
      </c>
      <c r="N58" s="2">
        <v>11</v>
      </c>
      <c r="O58" s="2">
        <v>11</v>
      </c>
      <c r="P58" s="2">
        <v>116</v>
      </c>
      <c r="Q58" s="2">
        <v>172</v>
      </c>
      <c r="R58" s="2">
        <v>11</v>
      </c>
      <c r="S58" s="2">
        <v>11</v>
      </c>
      <c r="T58" s="2">
        <v>11</v>
      </c>
      <c r="U58" s="2">
        <v>11</v>
      </c>
      <c r="V58" s="2">
        <v>11</v>
      </c>
      <c r="W58" s="2">
        <v>116</v>
      </c>
    </row>
    <row r="59" spans="1:23">
      <c r="A59" s="2">
        <v>57</v>
      </c>
      <c r="B59" s="2">
        <v>118</v>
      </c>
      <c r="C59" s="2">
        <v>118</v>
      </c>
      <c r="D59" s="2">
        <v>11</v>
      </c>
      <c r="E59" s="2">
        <v>11</v>
      </c>
      <c r="F59" s="2">
        <v>11</v>
      </c>
      <c r="G59" s="2">
        <v>11</v>
      </c>
      <c r="H59" s="2">
        <v>118</v>
      </c>
      <c r="I59" s="2">
        <v>7</v>
      </c>
      <c r="J59" s="2">
        <v>11</v>
      </c>
      <c r="K59" s="2">
        <v>11</v>
      </c>
      <c r="L59" s="2">
        <v>118</v>
      </c>
      <c r="M59" s="2">
        <v>11</v>
      </c>
      <c r="N59" s="2">
        <v>11</v>
      </c>
      <c r="O59" s="2">
        <v>11</v>
      </c>
      <c r="P59" s="2">
        <v>118</v>
      </c>
      <c r="Q59" s="2">
        <v>175</v>
      </c>
      <c r="R59" s="2">
        <v>11</v>
      </c>
      <c r="S59" s="2">
        <v>11</v>
      </c>
      <c r="T59" s="2">
        <v>11</v>
      </c>
      <c r="U59" s="2">
        <v>11</v>
      </c>
      <c r="V59" s="2">
        <v>11</v>
      </c>
      <c r="W59" s="2">
        <v>118</v>
      </c>
    </row>
    <row r="60" spans="1:23">
      <c r="A60" s="2">
        <v>58</v>
      </c>
      <c r="B60" s="2">
        <v>120</v>
      </c>
      <c r="C60" s="2">
        <v>120</v>
      </c>
      <c r="D60" s="2">
        <v>11</v>
      </c>
      <c r="E60" s="2">
        <v>11</v>
      </c>
      <c r="F60" s="2">
        <v>11</v>
      </c>
      <c r="G60" s="2">
        <v>11</v>
      </c>
      <c r="H60" s="2">
        <v>120</v>
      </c>
      <c r="I60" s="2">
        <v>7</v>
      </c>
      <c r="J60" s="2">
        <v>11</v>
      </c>
      <c r="K60" s="2">
        <v>11</v>
      </c>
      <c r="L60" s="2">
        <v>120</v>
      </c>
      <c r="M60" s="2">
        <v>11</v>
      </c>
      <c r="N60" s="2">
        <v>11</v>
      </c>
      <c r="O60" s="2">
        <v>11</v>
      </c>
      <c r="P60" s="2">
        <v>120</v>
      </c>
      <c r="Q60" s="2">
        <v>178</v>
      </c>
      <c r="R60" s="2">
        <v>11</v>
      </c>
      <c r="S60" s="2">
        <v>11</v>
      </c>
      <c r="T60" s="2">
        <v>11</v>
      </c>
      <c r="U60" s="2">
        <v>11</v>
      </c>
      <c r="V60" s="2">
        <v>11</v>
      </c>
      <c r="W60" s="2">
        <v>120</v>
      </c>
    </row>
    <row r="61" spans="1:23">
      <c r="A61" s="2">
        <v>59</v>
      </c>
      <c r="B61" s="2">
        <v>122</v>
      </c>
      <c r="C61" s="2">
        <v>122</v>
      </c>
      <c r="D61" s="2">
        <v>11</v>
      </c>
      <c r="E61" s="2">
        <v>11</v>
      </c>
      <c r="F61" s="2">
        <v>11</v>
      </c>
      <c r="G61" s="2">
        <v>11</v>
      </c>
      <c r="H61" s="2">
        <v>122</v>
      </c>
      <c r="I61" s="2">
        <v>7</v>
      </c>
      <c r="J61" s="2">
        <v>11</v>
      </c>
      <c r="K61" s="2">
        <v>11</v>
      </c>
      <c r="L61" s="2">
        <v>122</v>
      </c>
      <c r="M61" s="2">
        <v>11</v>
      </c>
      <c r="N61" s="2">
        <v>11</v>
      </c>
      <c r="O61" s="2">
        <v>11</v>
      </c>
      <c r="P61" s="2">
        <v>122</v>
      </c>
      <c r="Q61" s="2">
        <v>181</v>
      </c>
      <c r="R61" s="2">
        <v>11</v>
      </c>
      <c r="S61" s="2">
        <v>11</v>
      </c>
      <c r="T61" s="2">
        <v>11</v>
      </c>
      <c r="U61" s="2">
        <v>11</v>
      </c>
      <c r="V61" s="2">
        <v>11</v>
      </c>
      <c r="W61" s="2">
        <v>122</v>
      </c>
    </row>
    <row r="62" spans="1:23">
      <c r="A62" s="2">
        <v>60</v>
      </c>
      <c r="B62" s="2">
        <v>124</v>
      </c>
      <c r="C62" s="2">
        <v>124</v>
      </c>
      <c r="D62" s="2">
        <v>11</v>
      </c>
      <c r="E62" s="2">
        <v>11</v>
      </c>
      <c r="F62" s="2">
        <v>11</v>
      </c>
      <c r="G62" s="2">
        <v>11</v>
      </c>
      <c r="H62" s="2">
        <v>124</v>
      </c>
      <c r="I62" s="2">
        <v>8</v>
      </c>
      <c r="J62" s="2">
        <v>11</v>
      </c>
      <c r="K62" s="2">
        <v>11</v>
      </c>
      <c r="L62" s="2">
        <v>124</v>
      </c>
      <c r="M62" s="2">
        <v>11</v>
      </c>
      <c r="N62" s="2">
        <v>11</v>
      </c>
      <c r="O62" s="2">
        <v>11</v>
      </c>
      <c r="P62" s="2">
        <v>124</v>
      </c>
      <c r="Q62" s="2">
        <v>184</v>
      </c>
      <c r="R62" s="2">
        <v>11</v>
      </c>
      <c r="S62" s="2">
        <v>11</v>
      </c>
      <c r="T62" s="2">
        <v>11</v>
      </c>
      <c r="U62" s="2">
        <v>11</v>
      </c>
      <c r="V62" s="2">
        <v>11</v>
      </c>
      <c r="W62" s="2">
        <v>124</v>
      </c>
    </row>
    <row r="63" spans="1:23">
      <c r="A63" s="2">
        <v>61</v>
      </c>
      <c r="B63" s="2">
        <v>126</v>
      </c>
      <c r="C63" s="2">
        <v>126</v>
      </c>
      <c r="D63" s="2">
        <v>11</v>
      </c>
      <c r="E63" s="2">
        <v>11</v>
      </c>
      <c r="F63" s="2">
        <v>11</v>
      </c>
      <c r="G63" s="2">
        <v>11</v>
      </c>
      <c r="H63" s="2">
        <v>126</v>
      </c>
      <c r="I63" s="2">
        <v>8</v>
      </c>
      <c r="J63" s="2">
        <v>11</v>
      </c>
      <c r="K63" s="2">
        <v>11</v>
      </c>
      <c r="L63" s="2">
        <v>126</v>
      </c>
      <c r="M63" s="2">
        <v>11</v>
      </c>
      <c r="N63" s="2">
        <v>11</v>
      </c>
      <c r="O63" s="2">
        <v>11</v>
      </c>
      <c r="P63" s="2">
        <v>126</v>
      </c>
      <c r="Q63" s="2">
        <v>187</v>
      </c>
      <c r="R63" s="2">
        <v>11</v>
      </c>
      <c r="S63" s="2">
        <v>11</v>
      </c>
      <c r="T63" s="2">
        <v>11</v>
      </c>
      <c r="U63" s="2">
        <v>11</v>
      </c>
      <c r="V63" s="2">
        <v>11</v>
      </c>
      <c r="W63" s="2">
        <v>126</v>
      </c>
    </row>
    <row r="64" spans="1:23">
      <c r="A64" s="2">
        <v>62</v>
      </c>
      <c r="B64" s="2">
        <v>128</v>
      </c>
      <c r="C64" s="2">
        <v>128</v>
      </c>
      <c r="D64" s="2">
        <v>11</v>
      </c>
      <c r="E64" s="2">
        <v>11</v>
      </c>
      <c r="F64" s="2">
        <v>11</v>
      </c>
      <c r="G64" s="2">
        <v>11</v>
      </c>
      <c r="H64" s="2">
        <v>128</v>
      </c>
      <c r="I64" s="2">
        <v>8</v>
      </c>
      <c r="J64" s="2">
        <v>11</v>
      </c>
      <c r="K64" s="2">
        <v>11</v>
      </c>
      <c r="L64" s="2">
        <v>128</v>
      </c>
      <c r="M64" s="2">
        <v>11</v>
      </c>
      <c r="N64" s="2">
        <v>11</v>
      </c>
      <c r="O64" s="2">
        <v>11</v>
      </c>
      <c r="P64" s="2">
        <v>128</v>
      </c>
      <c r="Q64" s="2">
        <v>190</v>
      </c>
      <c r="R64" s="2">
        <v>11</v>
      </c>
      <c r="S64" s="2">
        <v>11</v>
      </c>
      <c r="T64" s="2">
        <v>11</v>
      </c>
      <c r="U64" s="2">
        <v>11</v>
      </c>
      <c r="V64" s="2">
        <v>11</v>
      </c>
      <c r="W64" s="2">
        <v>128</v>
      </c>
    </row>
    <row r="65" spans="1:23">
      <c r="A65" s="2">
        <v>63</v>
      </c>
      <c r="B65" s="2">
        <v>130</v>
      </c>
      <c r="C65" s="2">
        <v>130</v>
      </c>
      <c r="D65" s="2">
        <v>11</v>
      </c>
      <c r="E65" s="2">
        <v>11</v>
      </c>
      <c r="F65" s="2">
        <v>11</v>
      </c>
      <c r="G65" s="2">
        <v>11</v>
      </c>
      <c r="H65" s="2">
        <v>130</v>
      </c>
      <c r="I65" s="2">
        <v>8</v>
      </c>
      <c r="J65" s="2">
        <v>11</v>
      </c>
      <c r="K65" s="2">
        <v>11</v>
      </c>
      <c r="L65" s="2">
        <v>130</v>
      </c>
      <c r="M65" s="2">
        <v>11</v>
      </c>
      <c r="N65" s="2">
        <v>11</v>
      </c>
      <c r="O65" s="2">
        <v>11</v>
      </c>
      <c r="P65" s="2">
        <v>130</v>
      </c>
      <c r="Q65" s="2">
        <v>193</v>
      </c>
      <c r="R65" s="2">
        <v>11</v>
      </c>
      <c r="S65" s="2">
        <v>11</v>
      </c>
      <c r="T65" s="2">
        <v>11</v>
      </c>
      <c r="U65" s="2">
        <v>11</v>
      </c>
      <c r="V65" s="2">
        <v>11</v>
      </c>
      <c r="W65" s="2">
        <v>130</v>
      </c>
    </row>
    <row r="66" spans="1:23">
      <c r="A66" s="2">
        <v>64</v>
      </c>
      <c r="B66" s="2">
        <v>132</v>
      </c>
      <c r="C66" s="2">
        <v>132</v>
      </c>
      <c r="D66" s="2">
        <v>12</v>
      </c>
      <c r="E66" s="2">
        <v>12</v>
      </c>
      <c r="F66" s="2">
        <v>12</v>
      </c>
      <c r="G66" s="2">
        <v>12</v>
      </c>
      <c r="H66" s="2">
        <v>132</v>
      </c>
      <c r="I66" s="2">
        <v>8</v>
      </c>
      <c r="J66" s="2">
        <v>12</v>
      </c>
      <c r="K66" s="2">
        <v>12</v>
      </c>
      <c r="L66" s="2">
        <v>132</v>
      </c>
      <c r="M66" s="2">
        <v>12</v>
      </c>
      <c r="N66" s="2">
        <v>12</v>
      </c>
      <c r="O66" s="2">
        <v>12</v>
      </c>
      <c r="P66" s="2">
        <v>132</v>
      </c>
      <c r="Q66" s="2">
        <v>196</v>
      </c>
      <c r="R66" s="2">
        <v>12</v>
      </c>
      <c r="S66" s="2">
        <v>12</v>
      </c>
      <c r="T66" s="2">
        <v>12</v>
      </c>
      <c r="U66" s="2">
        <v>12</v>
      </c>
      <c r="V66" s="2">
        <v>12</v>
      </c>
      <c r="W66" s="2">
        <v>132</v>
      </c>
    </row>
    <row r="67" spans="1:23">
      <c r="A67" s="2">
        <v>65</v>
      </c>
      <c r="B67" s="2">
        <v>134</v>
      </c>
      <c r="C67" s="2">
        <v>134</v>
      </c>
      <c r="D67" s="2">
        <v>12</v>
      </c>
      <c r="E67" s="2">
        <v>12</v>
      </c>
      <c r="F67" s="2">
        <v>12</v>
      </c>
      <c r="G67" s="2">
        <v>12</v>
      </c>
      <c r="H67" s="2">
        <v>134</v>
      </c>
      <c r="I67" s="2">
        <v>8</v>
      </c>
      <c r="J67" s="2">
        <v>12</v>
      </c>
      <c r="K67" s="2">
        <v>12</v>
      </c>
      <c r="L67" s="2">
        <v>134</v>
      </c>
      <c r="M67" s="2">
        <v>12</v>
      </c>
      <c r="N67" s="2">
        <v>12</v>
      </c>
      <c r="O67" s="2">
        <v>12</v>
      </c>
      <c r="P67" s="2">
        <v>134</v>
      </c>
      <c r="Q67" s="2">
        <v>199</v>
      </c>
      <c r="R67" s="2">
        <v>12</v>
      </c>
      <c r="S67" s="2">
        <v>12</v>
      </c>
      <c r="T67" s="2">
        <v>12</v>
      </c>
      <c r="U67" s="2">
        <v>12</v>
      </c>
      <c r="V67" s="2">
        <v>12</v>
      </c>
      <c r="W67" s="2">
        <v>134</v>
      </c>
    </row>
    <row r="68" spans="1:23">
      <c r="A68" s="2">
        <v>66</v>
      </c>
      <c r="B68" s="2">
        <v>136</v>
      </c>
      <c r="C68" s="2">
        <v>136</v>
      </c>
      <c r="D68" s="2">
        <v>12</v>
      </c>
      <c r="E68" s="2">
        <v>12</v>
      </c>
      <c r="F68" s="2">
        <v>12</v>
      </c>
      <c r="G68" s="2">
        <v>12</v>
      </c>
      <c r="H68" s="2">
        <v>136</v>
      </c>
      <c r="I68" s="2">
        <v>8</v>
      </c>
      <c r="J68" s="2">
        <v>12</v>
      </c>
      <c r="K68" s="2">
        <v>12</v>
      </c>
      <c r="L68" s="2">
        <v>136</v>
      </c>
      <c r="M68" s="2">
        <v>12</v>
      </c>
      <c r="N68" s="2">
        <v>12</v>
      </c>
      <c r="O68" s="2">
        <v>12</v>
      </c>
      <c r="P68" s="2">
        <v>136</v>
      </c>
      <c r="Q68" s="2">
        <v>202</v>
      </c>
      <c r="R68" s="2">
        <v>12</v>
      </c>
      <c r="S68" s="2">
        <v>12</v>
      </c>
      <c r="T68" s="2">
        <v>12</v>
      </c>
      <c r="U68" s="2">
        <v>12</v>
      </c>
      <c r="V68" s="2">
        <v>12</v>
      </c>
      <c r="W68" s="2">
        <v>136</v>
      </c>
    </row>
    <row r="69" spans="1:23">
      <c r="A69" s="2">
        <v>67</v>
      </c>
      <c r="B69" s="2">
        <v>138</v>
      </c>
      <c r="C69" s="2">
        <v>138</v>
      </c>
      <c r="D69" s="2">
        <v>12</v>
      </c>
      <c r="E69" s="2">
        <v>12</v>
      </c>
      <c r="F69" s="2">
        <v>12</v>
      </c>
      <c r="G69" s="2">
        <v>12</v>
      </c>
      <c r="H69" s="2">
        <v>138</v>
      </c>
      <c r="I69" s="2">
        <v>8</v>
      </c>
      <c r="J69" s="2">
        <v>12</v>
      </c>
      <c r="K69" s="2">
        <v>12</v>
      </c>
      <c r="L69" s="2">
        <v>138</v>
      </c>
      <c r="M69" s="2">
        <v>12</v>
      </c>
      <c r="N69" s="2">
        <v>12</v>
      </c>
      <c r="O69" s="2">
        <v>12</v>
      </c>
      <c r="P69" s="2">
        <v>138</v>
      </c>
      <c r="Q69" s="2">
        <v>205</v>
      </c>
      <c r="R69" s="2">
        <v>12</v>
      </c>
      <c r="S69" s="2">
        <v>12</v>
      </c>
      <c r="T69" s="2">
        <v>12</v>
      </c>
      <c r="U69" s="2">
        <v>12</v>
      </c>
      <c r="V69" s="2">
        <v>12</v>
      </c>
      <c r="W69" s="2">
        <v>138</v>
      </c>
    </row>
    <row r="70" spans="1:23">
      <c r="A70" s="2">
        <v>68</v>
      </c>
      <c r="B70" s="2">
        <v>140</v>
      </c>
      <c r="C70" s="2">
        <v>140</v>
      </c>
      <c r="D70" s="2">
        <v>12</v>
      </c>
      <c r="E70" s="2">
        <v>12</v>
      </c>
      <c r="F70" s="2">
        <v>12</v>
      </c>
      <c r="G70" s="2">
        <v>12</v>
      </c>
      <c r="H70" s="2">
        <v>140</v>
      </c>
      <c r="I70" s="2">
        <v>8</v>
      </c>
      <c r="J70" s="2">
        <v>12</v>
      </c>
      <c r="K70" s="2">
        <v>12</v>
      </c>
      <c r="L70" s="2">
        <v>140</v>
      </c>
      <c r="M70" s="2">
        <v>12</v>
      </c>
      <c r="N70" s="2">
        <v>12</v>
      </c>
      <c r="O70" s="2">
        <v>12</v>
      </c>
      <c r="P70" s="2">
        <v>140</v>
      </c>
      <c r="Q70" s="2">
        <v>208</v>
      </c>
      <c r="R70" s="2">
        <v>12</v>
      </c>
      <c r="S70" s="2">
        <v>12</v>
      </c>
      <c r="T70" s="2">
        <v>12</v>
      </c>
      <c r="U70" s="2">
        <v>12</v>
      </c>
      <c r="V70" s="2">
        <v>12</v>
      </c>
      <c r="W70" s="2">
        <v>140</v>
      </c>
    </row>
    <row r="71" spans="1:23">
      <c r="A71" s="2">
        <v>69</v>
      </c>
      <c r="B71" s="2">
        <v>142</v>
      </c>
      <c r="C71" s="2">
        <v>142</v>
      </c>
      <c r="D71" s="2">
        <v>12</v>
      </c>
      <c r="E71" s="2">
        <v>12</v>
      </c>
      <c r="F71" s="2">
        <v>12</v>
      </c>
      <c r="G71" s="2">
        <v>12</v>
      </c>
      <c r="H71" s="2">
        <v>142</v>
      </c>
      <c r="I71" s="2">
        <v>8</v>
      </c>
      <c r="J71" s="2">
        <v>12</v>
      </c>
      <c r="K71" s="2">
        <v>12</v>
      </c>
      <c r="L71" s="2">
        <v>142</v>
      </c>
      <c r="M71" s="2">
        <v>12</v>
      </c>
      <c r="N71" s="2">
        <v>12</v>
      </c>
      <c r="O71" s="2">
        <v>12</v>
      </c>
      <c r="P71" s="2">
        <v>142</v>
      </c>
      <c r="Q71" s="2">
        <v>211</v>
      </c>
      <c r="R71" s="2">
        <v>12</v>
      </c>
      <c r="S71" s="2">
        <v>12</v>
      </c>
      <c r="T71" s="2">
        <v>12</v>
      </c>
      <c r="U71" s="2">
        <v>12</v>
      </c>
      <c r="V71" s="2">
        <v>12</v>
      </c>
      <c r="W71" s="2">
        <v>142</v>
      </c>
    </row>
    <row r="72" spans="1:23">
      <c r="A72" s="2">
        <v>70</v>
      </c>
      <c r="B72" s="2">
        <v>144</v>
      </c>
      <c r="C72" s="2">
        <v>144</v>
      </c>
      <c r="D72" s="2">
        <v>12</v>
      </c>
      <c r="E72" s="2">
        <v>12</v>
      </c>
      <c r="F72" s="2">
        <v>12</v>
      </c>
      <c r="G72" s="2">
        <v>12</v>
      </c>
      <c r="H72" s="2">
        <v>144</v>
      </c>
      <c r="I72" s="2">
        <v>9</v>
      </c>
      <c r="J72" s="2">
        <v>12</v>
      </c>
      <c r="K72" s="2">
        <v>12</v>
      </c>
      <c r="L72" s="2">
        <v>144</v>
      </c>
      <c r="M72" s="2">
        <v>12</v>
      </c>
      <c r="N72" s="2">
        <v>12</v>
      </c>
      <c r="O72" s="2">
        <v>12</v>
      </c>
      <c r="P72" s="2">
        <v>144</v>
      </c>
      <c r="Q72" s="2">
        <v>214</v>
      </c>
      <c r="R72" s="2">
        <v>12</v>
      </c>
      <c r="S72" s="2">
        <v>12</v>
      </c>
      <c r="T72" s="2">
        <v>12</v>
      </c>
      <c r="U72" s="2">
        <v>12</v>
      </c>
      <c r="V72" s="2">
        <v>12</v>
      </c>
      <c r="W72" s="2">
        <v>144</v>
      </c>
    </row>
    <row r="73" spans="1:23">
      <c r="A73" s="2">
        <v>71</v>
      </c>
      <c r="B73" s="2">
        <v>146</v>
      </c>
      <c r="C73" s="2">
        <v>146</v>
      </c>
      <c r="D73" s="2">
        <v>12</v>
      </c>
      <c r="E73" s="2">
        <v>12</v>
      </c>
      <c r="F73" s="2">
        <v>12</v>
      </c>
      <c r="G73" s="2">
        <v>12</v>
      </c>
      <c r="H73" s="2">
        <v>146</v>
      </c>
      <c r="I73" s="2">
        <v>9</v>
      </c>
      <c r="J73" s="2">
        <v>12</v>
      </c>
      <c r="K73" s="2">
        <v>12</v>
      </c>
      <c r="L73" s="2">
        <v>146</v>
      </c>
      <c r="M73" s="2">
        <v>12</v>
      </c>
      <c r="N73" s="2">
        <v>12</v>
      </c>
      <c r="O73" s="2">
        <v>12</v>
      </c>
      <c r="P73" s="2">
        <v>146</v>
      </c>
      <c r="Q73" s="2">
        <v>217</v>
      </c>
      <c r="R73" s="2">
        <v>12</v>
      </c>
      <c r="S73" s="2">
        <v>12</v>
      </c>
      <c r="T73" s="2">
        <v>12</v>
      </c>
      <c r="U73" s="2">
        <v>12</v>
      </c>
      <c r="V73" s="2">
        <v>12</v>
      </c>
      <c r="W73" s="2">
        <v>146</v>
      </c>
    </row>
    <row r="74" spans="1:23">
      <c r="A74" s="2">
        <v>72</v>
      </c>
      <c r="B74" s="2">
        <v>148</v>
      </c>
      <c r="C74" s="2">
        <v>148</v>
      </c>
      <c r="D74" s="2">
        <v>13</v>
      </c>
      <c r="E74" s="2">
        <v>13</v>
      </c>
      <c r="F74" s="2">
        <v>13</v>
      </c>
      <c r="G74" s="2">
        <v>13</v>
      </c>
      <c r="H74" s="2">
        <v>148</v>
      </c>
      <c r="I74" s="2">
        <v>9</v>
      </c>
      <c r="J74" s="2">
        <v>13</v>
      </c>
      <c r="K74" s="2">
        <v>13</v>
      </c>
      <c r="L74" s="2">
        <v>148</v>
      </c>
      <c r="M74" s="2">
        <v>13</v>
      </c>
      <c r="N74" s="2">
        <v>13</v>
      </c>
      <c r="O74" s="2">
        <v>13</v>
      </c>
      <c r="P74" s="2">
        <v>148</v>
      </c>
      <c r="Q74" s="2">
        <v>220</v>
      </c>
      <c r="R74" s="2">
        <v>13</v>
      </c>
      <c r="S74" s="2">
        <v>13</v>
      </c>
      <c r="T74" s="2">
        <v>13</v>
      </c>
      <c r="U74" s="2">
        <v>13</v>
      </c>
      <c r="V74" s="2">
        <v>13</v>
      </c>
      <c r="W74" s="2">
        <v>148</v>
      </c>
    </row>
    <row r="75" spans="1:23">
      <c r="A75" s="2">
        <v>73</v>
      </c>
      <c r="B75" s="2">
        <v>150</v>
      </c>
      <c r="C75" s="2">
        <v>150</v>
      </c>
      <c r="D75" s="2">
        <v>13</v>
      </c>
      <c r="E75" s="2">
        <v>13</v>
      </c>
      <c r="F75" s="2">
        <v>13</v>
      </c>
      <c r="G75" s="2">
        <v>13</v>
      </c>
      <c r="H75" s="2">
        <v>150</v>
      </c>
      <c r="I75" s="2">
        <v>9</v>
      </c>
      <c r="J75" s="2">
        <v>13</v>
      </c>
      <c r="K75" s="2">
        <v>13</v>
      </c>
      <c r="L75" s="2">
        <v>150</v>
      </c>
      <c r="M75" s="2">
        <v>13</v>
      </c>
      <c r="N75" s="2">
        <v>13</v>
      </c>
      <c r="O75" s="2">
        <v>13</v>
      </c>
      <c r="P75" s="2">
        <v>150</v>
      </c>
      <c r="Q75" s="2">
        <v>223</v>
      </c>
      <c r="R75" s="2">
        <v>13</v>
      </c>
      <c r="S75" s="2">
        <v>13</v>
      </c>
      <c r="T75" s="2">
        <v>13</v>
      </c>
      <c r="U75" s="2">
        <v>13</v>
      </c>
      <c r="V75" s="2">
        <v>13</v>
      </c>
      <c r="W75" s="2">
        <v>150</v>
      </c>
    </row>
    <row r="76" spans="1:23">
      <c r="A76" s="2">
        <v>74</v>
      </c>
      <c r="B76" s="2">
        <v>152</v>
      </c>
      <c r="C76" s="2">
        <v>152</v>
      </c>
      <c r="D76" s="2">
        <v>13</v>
      </c>
      <c r="E76" s="2">
        <v>13</v>
      </c>
      <c r="F76" s="2">
        <v>13</v>
      </c>
      <c r="G76" s="2">
        <v>13</v>
      </c>
      <c r="H76" s="2">
        <v>152</v>
      </c>
      <c r="I76" s="2">
        <v>9</v>
      </c>
      <c r="J76" s="2">
        <v>13</v>
      </c>
      <c r="K76" s="2">
        <v>13</v>
      </c>
      <c r="L76" s="2">
        <v>152</v>
      </c>
      <c r="M76" s="2">
        <v>13</v>
      </c>
      <c r="N76" s="2">
        <v>13</v>
      </c>
      <c r="O76" s="2">
        <v>13</v>
      </c>
      <c r="P76" s="2">
        <v>152</v>
      </c>
      <c r="Q76" s="2">
        <v>226</v>
      </c>
      <c r="R76" s="2">
        <v>13</v>
      </c>
      <c r="S76" s="2">
        <v>13</v>
      </c>
      <c r="T76" s="2">
        <v>13</v>
      </c>
      <c r="U76" s="2">
        <v>13</v>
      </c>
      <c r="V76" s="2">
        <v>13</v>
      </c>
      <c r="W76" s="2">
        <v>152</v>
      </c>
    </row>
    <row r="77" spans="1:23">
      <c r="A77" s="2">
        <v>75</v>
      </c>
      <c r="B77" s="2">
        <v>154</v>
      </c>
      <c r="C77" s="2">
        <v>154</v>
      </c>
      <c r="D77" s="2">
        <v>13</v>
      </c>
      <c r="E77" s="2">
        <v>13</v>
      </c>
      <c r="F77" s="2">
        <v>13</v>
      </c>
      <c r="G77" s="2">
        <v>13</v>
      </c>
      <c r="H77" s="2">
        <v>154</v>
      </c>
      <c r="I77" s="2">
        <v>9</v>
      </c>
      <c r="J77" s="2">
        <v>13</v>
      </c>
      <c r="K77" s="2">
        <v>13</v>
      </c>
      <c r="L77" s="2">
        <v>154</v>
      </c>
      <c r="M77" s="2">
        <v>13</v>
      </c>
      <c r="N77" s="2">
        <v>13</v>
      </c>
      <c r="O77" s="2">
        <v>13</v>
      </c>
      <c r="P77" s="2">
        <v>154</v>
      </c>
      <c r="Q77" s="2">
        <v>229</v>
      </c>
      <c r="R77" s="2">
        <v>13</v>
      </c>
      <c r="S77" s="2">
        <v>13</v>
      </c>
      <c r="T77" s="2">
        <v>13</v>
      </c>
      <c r="U77" s="2">
        <v>13</v>
      </c>
      <c r="V77" s="2">
        <v>13</v>
      </c>
      <c r="W77" s="2">
        <v>154</v>
      </c>
    </row>
    <row r="78" spans="1:23">
      <c r="A78" s="2">
        <v>76</v>
      </c>
      <c r="B78" s="2">
        <v>156</v>
      </c>
      <c r="C78" s="2">
        <v>156</v>
      </c>
      <c r="D78" s="2">
        <v>13</v>
      </c>
      <c r="E78" s="2">
        <v>13</v>
      </c>
      <c r="F78" s="2">
        <v>13</v>
      </c>
      <c r="G78" s="2">
        <v>13</v>
      </c>
      <c r="H78" s="2">
        <v>156</v>
      </c>
      <c r="I78" s="2">
        <v>9</v>
      </c>
      <c r="J78" s="2">
        <v>13</v>
      </c>
      <c r="K78" s="2">
        <v>13</v>
      </c>
      <c r="L78" s="2">
        <v>156</v>
      </c>
      <c r="M78" s="2">
        <v>13</v>
      </c>
      <c r="N78" s="2">
        <v>13</v>
      </c>
      <c r="O78" s="2">
        <v>13</v>
      </c>
      <c r="P78" s="2">
        <v>156</v>
      </c>
      <c r="Q78" s="2">
        <v>232</v>
      </c>
      <c r="R78" s="2">
        <v>13</v>
      </c>
      <c r="S78" s="2">
        <v>13</v>
      </c>
      <c r="T78" s="2">
        <v>13</v>
      </c>
      <c r="U78" s="2">
        <v>13</v>
      </c>
      <c r="V78" s="2">
        <v>13</v>
      </c>
      <c r="W78" s="2">
        <v>156</v>
      </c>
    </row>
    <row r="79" spans="1:23">
      <c r="A79" s="2">
        <v>77</v>
      </c>
      <c r="B79" s="2">
        <v>158</v>
      </c>
      <c r="C79" s="2">
        <v>158</v>
      </c>
      <c r="D79" s="2">
        <v>13</v>
      </c>
      <c r="E79" s="2">
        <v>13</v>
      </c>
      <c r="F79" s="2">
        <v>13</v>
      </c>
      <c r="G79" s="2">
        <v>13</v>
      </c>
      <c r="H79" s="2">
        <v>158</v>
      </c>
      <c r="I79" s="2">
        <v>9</v>
      </c>
      <c r="J79" s="2">
        <v>13</v>
      </c>
      <c r="K79" s="2">
        <v>13</v>
      </c>
      <c r="L79" s="2">
        <v>158</v>
      </c>
      <c r="M79" s="2">
        <v>13</v>
      </c>
      <c r="N79" s="2">
        <v>13</v>
      </c>
      <c r="O79" s="2">
        <v>13</v>
      </c>
      <c r="P79" s="2">
        <v>158</v>
      </c>
      <c r="Q79" s="2">
        <v>235</v>
      </c>
      <c r="R79" s="2">
        <v>13</v>
      </c>
      <c r="S79" s="2">
        <v>13</v>
      </c>
      <c r="T79" s="2">
        <v>13</v>
      </c>
      <c r="U79" s="2">
        <v>13</v>
      </c>
      <c r="V79" s="2">
        <v>13</v>
      </c>
      <c r="W79" s="2">
        <v>158</v>
      </c>
    </row>
    <row r="80" spans="1:23">
      <c r="A80" s="2">
        <v>78</v>
      </c>
      <c r="B80" s="2">
        <v>160</v>
      </c>
      <c r="C80" s="2">
        <v>160</v>
      </c>
      <c r="D80" s="2">
        <v>13</v>
      </c>
      <c r="E80" s="2">
        <v>13</v>
      </c>
      <c r="F80" s="2">
        <v>13</v>
      </c>
      <c r="G80" s="2">
        <v>13</v>
      </c>
      <c r="H80" s="2">
        <v>160</v>
      </c>
      <c r="I80" s="2">
        <v>9</v>
      </c>
      <c r="J80" s="2">
        <v>13</v>
      </c>
      <c r="K80" s="2">
        <v>13</v>
      </c>
      <c r="L80" s="2">
        <v>160</v>
      </c>
      <c r="M80" s="2">
        <v>13</v>
      </c>
      <c r="N80" s="2">
        <v>13</v>
      </c>
      <c r="O80" s="2">
        <v>13</v>
      </c>
      <c r="P80" s="2">
        <v>160</v>
      </c>
      <c r="Q80" s="2">
        <v>238</v>
      </c>
      <c r="R80" s="2">
        <v>13</v>
      </c>
      <c r="S80" s="2">
        <v>13</v>
      </c>
      <c r="T80" s="2">
        <v>13</v>
      </c>
      <c r="U80" s="2">
        <v>13</v>
      </c>
      <c r="V80" s="2">
        <v>13</v>
      </c>
      <c r="W80" s="2">
        <v>160</v>
      </c>
    </row>
    <row r="81" spans="1:23">
      <c r="A81" s="2">
        <v>79</v>
      </c>
      <c r="B81" s="2">
        <v>162</v>
      </c>
      <c r="C81" s="2">
        <v>162</v>
      </c>
      <c r="D81" s="2">
        <v>13</v>
      </c>
      <c r="E81" s="2">
        <v>13</v>
      </c>
      <c r="F81" s="2">
        <v>13</v>
      </c>
      <c r="G81" s="2">
        <v>13</v>
      </c>
      <c r="H81" s="2">
        <v>162</v>
      </c>
      <c r="I81" s="2">
        <v>9</v>
      </c>
      <c r="J81" s="2">
        <v>13</v>
      </c>
      <c r="K81" s="2">
        <v>13</v>
      </c>
      <c r="L81" s="2">
        <v>162</v>
      </c>
      <c r="M81" s="2">
        <v>13</v>
      </c>
      <c r="N81" s="2">
        <v>13</v>
      </c>
      <c r="O81" s="2">
        <v>13</v>
      </c>
      <c r="P81" s="2">
        <v>162</v>
      </c>
      <c r="Q81" s="2">
        <v>241</v>
      </c>
      <c r="R81" s="2">
        <v>13</v>
      </c>
      <c r="S81" s="2">
        <v>13</v>
      </c>
      <c r="T81" s="2">
        <v>13</v>
      </c>
      <c r="U81" s="2">
        <v>13</v>
      </c>
      <c r="V81" s="2">
        <v>13</v>
      </c>
      <c r="W81" s="2">
        <v>162</v>
      </c>
    </row>
    <row r="82" spans="1:23">
      <c r="A82" s="2">
        <v>80</v>
      </c>
      <c r="B82" s="2">
        <v>164</v>
      </c>
      <c r="C82" s="2">
        <v>164</v>
      </c>
      <c r="D82" s="2">
        <v>14</v>
      </c>
      <c r="E82" s="2">
        <v>14</v>
      </c>
      <c r="F82" s="2">
        <v>14</v>
      </c>
      <c r="G82" s="2">
        <v>14</v>
      </c>
      <c r="H82" s="2">
        <v>164</v>
      </c>
      <c r="I82" s="2">
        <v>10</v>
      </c>
      <c r="J82" s="2">
        <v>14</v>
      </c>
      <c r="K82" s="2">
        <v>14</v>
      </c>
      <c r="L82" s="2">
        <v>164</v>
      </c>
      <c r="M82" s="2">
        <v>14</v>
      </c>
      <c r="N82" s="2">
        <v>14</v>
      </c>
      <c r="O82" s="2">
        <v>14</v>
      </c>
      <c r="P82" s="2">
        <v>164</v>
      </c>
      <c r="Q82" s="2">
        <v>244</v>
      </c>
      <c r="R82" s="2">
        <v>14</v>
      </c>
      <c r="S82" s="2">
        <v>14</v>
      </c>
      <c r="T82" s="2">
        <v>14</v>
      </c>
      <c r="U82" s="2">
        <v>14</v>
      </c>
      <c r="V82" s="2">
        <v>14</v>
      </c>
      <c r="W82" s="2">
        <v>164</v>
      </c>
    </row>
    <row r="83" spans="1:23">
      <c r="A83" s="2">
        <v>81</v>
      </c>
      <c r="B83" s="2">
        <v>166</v>
      </c>
      <c r="C83" s="2">
        <v>166</v>
      </c>
      <c r="D83" s="2">
        <v>14</v>
      </c>
      <c r="E83" s="2">
        <v>14</v>
      </c>
      <c r="F83" s="2">
        <v>14</v>
      </c>
      <c r="G83" s="2">
        <v>14</v>
      </c>
      <c r="H83" s="2">
        <v>166</v>
      </c>
      <c r="I83" s="2">
        <v>10</v>
      </c>
      <c r="J83" s="2">
        <v>14</v>
      </c>
      <c r="K83" s="2">
        <v>14</v>
      </c>
      <c r="L83" s="2">
        <v>166</v>
      </c>
      <c r="M83" s="2">
        <v>14</v>
      </c>
      <c r="N83" s="2">
        <v>14</v>
      </c>
      <c r="O83" s="2">
        <v>14</v>
      </c>
      <c r="P83" s="2">
        <v>166</v>
      </c>
      <c r="Q83" s="2">
        <v>247</v>
      </c>
      <c r="R83" s="2">
        <v>14</v>
      </c>
      <c r="S83" s="2">
        <v>14</v>
      </c>
      <c r="T83" s="2">
        <v>14</v>
      </c>
      <c r="U83" s="2">
        <v>14</v>
      </c>
      <c r="V83" s="2">
        <v>14</v>
      </c>
      <c r="W83" s="2">
        <v>166</v>
      </c>
    </row>
    <row r="84" spans="1:23">
      <c r="A84" s="2">
        <v>82</v>
      </c>
      <c r="B84" s="2">
        <v>168</v>
      </c>
      <c r="C84" s="2">
        <v>168</v>
      </c>
      <c r="D84" s="2">
        <v>14</v>
      </c>
      <c r="E84" s="2">
        <v>14</v>
      </c>
      <c r="F84" s="2">
        <v>14</v>
      </c>
      <c r="G84" s="2">
        <v>14</v>
      </c>
      <c r="H84" s="2">
        <v>168</v>
      </c>
      <c r="I84" s="2">
        <v>10</v>
      </c>
      <c r="J84" s="2">
        <v>14</v>
      </c>
      <c r="K84" s="2">
        <v>14</v>
      </c>
      <c r="L84" s="2">
        <v>168</v>
      </c>
      <c r="M84" s="2">
        <v>14</v>
      </c>
      <c r="N84" s="2">
        <v>14</v>
      </c>
      <c r="O84" s="2">
        <v>14</v>
      </c>
      <c r="P84" s="2">
        <v>168</v>
      </c>
      <c r="Q84" s="2">
        <v>250</v>
      </c>
      <c r="R84" s="2">
        <v>14</v>
      </c>
      <c r="S84" s="2">
        <v>14</v>
      </c>
      <c r="T84" s="2">
        <v>14</v>
      </c>
      <c r="U84" s="2">
        <v>14</v>
      </c>
      <c r="V84" s="2">
        <v>14</v>
      </c>
      <c r="W84" s="2">
        <v>168</v>
      </c>
    </row>
    <row r="85" spans="1:23">
      <c r="A85" s="2">
        <v>83</v>
      </c>
      <c r="B85" s="2">
        <v>170</v>
      </c>
      <c r="C85" s="2">
        <v>170</v>
      </c>
      <c r="D85" s="2">
        <v>14</v>
      </c>
      <c r="E85" s="2">
        <v>14</v>
      </c>
      <c r="F85" s="2">
        <v>14</v>
      </c>
      <c r="G85" s="2">
        <v>14</v>
      </c>
      <c r="H85" s="2">
        <v>170</v>
      </c>
      <c r="I85" s="2">
        <v>10</v>
      </c>
      <c r="J85" s="2">
        <v>14</v>
      </c>
      <c r="K85" s="2">
        <v>14</v>
      </c>
      <c r="L85" s="2">
        <v>170</v>
      </c>
      <c r="M85" s="2">
        <v>14</v>
      </c>
      <c r="N85" s="2">
        <v>14</v>
      </c>
      <c r="O85" s="2">
        <v>14</v>
      </c>
      <c r="P85" s="2">
        <v>170</v>
      </c>
      <c r="Q85" s="2">
        <v>253</v>
      </c>
      <c r="R85" s="2">
        <v>14</v>
      </c>
      <c r="S85" s="2">
        <v>14</v>
      </c>
      <c r="T85" s="2">
        <v>14</v>
      </c>
      <c r="U85" s="2">
        <v>14</v>
      </c>
      <c r="V85" s="2">
        <v>14</v>
      </c>
      <c r="W85" s="2">
        <v>170</v>
      </c>
    </row>
    <row r="86" spans="1:23">
      <c r="A86" s="2">
        <v>84</v>
      </c>
      <c r="B86" s="2">
        <v>172</v>
      </c>
      <c r="C86" s="2">
        <v>172</v>
      </c>
      <c r="D86" s="2">
        <v>14</v>
      </c>
      <c r="E86" s="2">
        <v>14</v>
      </c>
      <c r="F86" s="2">
        <v>14</v>
      </c>
      <c r="G86" s="2">
        <v>14</v>
      </c>
      <c r="H86" s="2">
        <v>172</v>
      </c>
      <c r="I86" s="2">
        <v>10</v>
      </c>
      <c r="J86" s="2">
        <v>14</v>
      </c>
      <c r="K86" s="2">
        <v>14</v>
      </c>
      <c r="L86" s="2">
        <v>172</v>
      </c>
      <c r="M86" s="2">
        <v>14</v>
      </c>
      <c r="N86" s="2">
        <v>14</v>
      </c>
      <c r="O86" s="2">
        <v>14</v>
      </c>
      <c r="P86" s="2">
        <v>172</v>
      </c>
      <c r="Q86" s="2">
        <v>256</v>
      </c>
      <c r="R86" s="2">
        <v>14</v>
      </c>
      <c r="S86" s="2">
        <v>14</v>
      </c>
      <c r="T86" s="2">
        <v>14</v>
      </c>
      <c r="U86" s="2">
        <v>14</v>
      </c>
      <c r="V86" s="2">
        <v>14</v>
      </c>
      <c r="W86" s="2">
        <v>172</v>
      </c>
    </row>
    <row r="87" spans="1:23">
      <c r="A87" s="2">
        <v>85</v>
      </c>
      <c r="B87" s="2">
        <v>174</v>
      </c>
      <c r="C87" s="2">
        <v>174</v>
      </c>
      <c r="D87" s="2">
        <v>14</v>
      </c>
      <c r="E87" s="2">
        <v>14</v>
      </c>
      <c r="F87" s="2">
        <v>14</v>
      </c>
      <c r="G87" s="2">
        <v>14</v>
      </c>
      <c r="H87" s="2">
        <v>174</v>
      </c>
      <c r="I87" s="2">
        <v>10</v>
      </c>
      <c r="J87" s="2">
        <v>14</v>
      </c>
      <c r="K87" s="2">
        <v>14</v>
      </c>
      <c r="L87" s="2">
        <v>174</v>
      </c>
      <c r="M87" s="2">
        <v>14</v>
      </c>
      <c r="N87" s="2">
        <v>14</v>
      </c>
      <c r="O87" s="2">
        <v>14</v>
      </c>
      <c r="P87" s="2">
        <v>174</v>
      </c>
      <c r="Q87" s="2">
        <v>259</v>
      </c>
      <c r="R87" s="2">
        <v>14</v>
      </c>
      <c r="S87" s="2">
        <v>14</v>
      </c>
      <c r="T87" s="2">
        <v>14</v>
      </c>
      <c r="U87" s="2">
        <v>14</v>
      </c>
      <c r="V87" s="2">
        <v>14</v>
      </c>
      <c r="W87" s="2">
        <v>174</v>
      </c>
    </row>
    <row r="88" spans="1:23">
      <c r="A88" s="2">
        <v>86</v>
      </c>
      <c r="B88" s="2">
        <v>176</v>
      </c>
      <c r="C88" s="2">
        <v>176</v>
      </c>
      <c r="D88" s="2">
        <v>14</v>
      </c>
      <c r="E88" s="2">
        <v>14</v>
      </c>
      <c r="F88" s="2">
        <v>14</v>
      </c>
      <c r="G88" s="2">
        <v>14</v>
      </c>
      <c r="H88" s="2">
        <v>176</v>
      </c>
      <c r="I88" s="2">
        <v>10</v>
      </c>
      <c r="J88" s="2">
        <v>14</v>
      </c>
      <c r="K88" s="2">
        <v>14</v>
      </c>
      <c r="L88" s="2">
        <v>176</v>
      </c>
      <c r="M88" s="2">
        <v>14</v>
      </c>
      <c r="N88" s="2">
        <v>14</v>
      </c>
      <c r="O88" s="2">
        <v>14</v>
      </c>
      <c r="P88" s="2">
        <v>176</v>
      </c>
      <c r="Q88" s="2">
        <v>262</v>
      </c>
      <c r="R88" s="2">
        <v>14</v>
      </c>
      <c r="S88" s="2">
        <v>14</v>
      </c>
      <c r="T88" s="2">
        <v>14</v>
      </c>
      <c r="U88" s="2">
        <v>14</v>
      </c>
      <c r="V88" s="2">
        <v>14</v>
      </c>
      <c r="W88" s="2">
        <v>176</v>
      </c>
    </row>
    <row r="89" spans="1:23">
      <c r="A89" s="2">
        <v>87</v>
      </c>
      <c r="B89" s="2">
        <v>178</v>
      </c>
      <c r="C89" s="2">
        <v>178</v>
      </c>
      <c r="D89" s="2">
        <v>14</v>
      </c>
      <c r="E89" s="2">
        <v>14</v>
      </c>
      <c r="F89" s="2">
        <v>14</v>
      </c>
      <c r="G89" s="2">
        <v>14</v>
      </c>
      <c r="H89" s="2">
        <v>178</v>
      </c>
      <c r="I89" s="2">
        <v>10</v>
      </c>
      <c r="J89" s="2">
        <v>14</v>
      </c>
      <c r="K89" s="2">
        <v>14</v>
      </c>
      <c r="L89" s="2">
        <v>178</v>
      </c>
      <c r="M89" s="2">
        <v>14</v>
      </c>
      <c r="N89" s="2">
        <v>14</v>
      </c>
      <c r="O89" s="2">
        <v>14</v>
      </c>
      <c r="P89" s="2">
        <v>178</v>
      </c>
      <c r="Q89" s="2">
        <v>265</v>
      </c>
      <c r="R89" s="2">
        <v>14</v>
      </c>
      <c r="S89" s="2">
        <v>14</v>
      </c>
      <c r="T89" s="2">
        <v>14</v>
      </c>
      <c r="U89" s="2">
        <v>14</v>
      </c>
      <c r="V89" s="2">
        <v>14</v>
      </c>
      <c r="W89" s="2">
        <v>178</v>
      </c>
    </row>
    <row r="90" spans="1:23">
      <c r="A90" s="2">
        <v>88</v>
      </c>
      <c r="B90" s="2">
        <v>180</v>
      </c>
      <c r="C90" s="2">
        <v>180</v>
      </c>
      <c r="D90" s="2">
        <v>15</v>
      </c>
      <c r="E90" s="2">
        <v>15</v>
      </c>
      <c r="F90" s="2">
        <v>15</v>
      </c>
      <c r="G90" s="2">
        <v>15</v>
      </c>
      <c r="H90" s="2">
        <v>180</v>
      </c>
      <c r="I90" s="2">
        <v>10</v>
      </c>
      <c r="J90" s="2">
        <v>15</v>
      </c>
      <c r="K90" s="2">
        <v>15</v>
      </c>
      <c r="L90" s="2">
        <v>180</v>
      </c>
      <c r="M90" s="2">
        <v>15</v>
      </c>
      <c r="N90" s="2">
        <v>15</v>
      </c>
      <c r="O90" s="2">
        <v>15</v>
      </c>
      <c r="P90" s="2">
        <v>180</v>
      </c>
      <c r="Q90" s="2">
        <v>268</v>
      </c>
      <c r="R90" s="2">
        <v>15</v>
      </c>
      <c r="S90" s="2">
        <v>15</v>
      </c>
      <c r="T90" s="2">
        <v>15</v>
      </c>
      <c r="U90" s="2">
        <v>15</v>
      </c>
      <c r="V90" s="2">
        <v>15</v>
      </c>
      <c r="W90" s="2">
        <v>180</v>
      </c>
    </row>
    <row r="91" spans="1:23">
      <c r="A91" s="2">
        <v>89</v>
      </c>
      <c r="B91" s="2">
        <v>182</v>
      </c>
      <c r="C91" s="2">
        <v>182</v>
      </c>
      <c r="D91" s="2">
        <v>15</v>
      </c>
      <c r="E91" s="2">
        <v>15</v>
      </c>
      <c r="F91" s="2">
        <v>15</v>
      </c>
      <c r="G91" s="2">
        <v>15</v>
      </c>
      <c r="H91" s="2">
        <v>182</v>
      </c>
      <c r="I91" s="2">
        <v>10</v>
      </c>
      <c r="J91" s="2">
        <v>15</v>
      </c>
      <c r="K91" s="2">
        <v>15</v>
      </c>
      <c r="L91" s="2">
        <v>182</v>
      </c>
      <c r="M91" s="2">
        <v>15</v>
      </c>
      <c r="N91" s="2">
        <v>15</v>
      </c>
      <c r="O91" s="2">
        <v>15</v>
      </c>
      <c r="P91" s="2">
        <v>182</v>
      </c>
      <c r="Q91" s="2">
        <v>271</v>
      </c>
      <c r="R91" s="2">
        <v>15</v>
      </c>
      <c r="S91" s="2">
        <v>15</v>
      </c>
      <c r="T91" s="2">
        <v>15</v>
      </c>
      <c r="U91" s="2">
        <v>15</v>
      </c>
      <c r="V91" s="2">
        <v>15</v>
      </c>
      <c r="W91" s="2">
        <v>182</v>
      </c>
    </row>
    <row r="92" spans="1:23">
      <c r="A92" s="2">
        <v>90</v>
      </c>
      <c r="B92" s="2">
        <v>184</v>
      </c>
      <c r="C92" s="2">
        <v>184</v>
      </c>
      <c r="D92" s="2">
        <v>15</v>
      </c>
      <c r="E92" s="2">
        <v>15</v>
      </c>
      <c r="F92" s="2">
        <v>15</v>
      </c>
      <c r="G92" s="2">
        <v>15</v>
      </c>
      <c r="H92" s="2">
        <v>184</v>
      </c>
      <c r="I92" s="2">
        <v>11</v>
      </c>
      <c r="J92" s="2">
        <v>15</v>
      </c>
      <c r="K92" s="2">
        <v>15</v>
      </c>
      <c r="L92" s="2">
        <v>184</v>
      </c>
      <c r="M92" s="2">
        <v>15</v>
      </c>
      <c r="N92" s="2">
        <v>15</v>
      </c>
      <c r="O92" s="2">
        <v>15</v>
      </c>
      <c r="P92" s="2">
        <v>184</v>
      </c>
      <c r="Q92" s="2">
        <v>274</v>
      </c>
      <c r="R92" s="2">
        <v>15</v>
      </c>
      <c r="S92" s="2">
        <v>15</v>
      </c>
      <c r="T92" s="2">
        <v>15</v>
      </c>
      <c r="U92" s="2">
        <v>15</v>
      </c>
      <c r="V92" s="2">
        <v>15</v>
      </c>
      <c r="W92" s="2">
        <v>184</v>
      </c>
    </row>
    <row r="93" spans="1:23">
      <c r="A93" s="2">
        <v>91</v>
      </c>
      <c r="B93" s="2">
        <v>186</v>
      </c>
      <c r="C93" s="2">
        <v>186</v>
      </c>
      <c r="D93" s="2">
        <v>15</v>
      </c>
      <c r="E93" s="2">
        <v>15</v>
      </c>
      <c r="F93" s="2">
        <v>15</v>
      </c>
      <c r="G93" s="2">
        <v>15</v>
      </c>
      <c r="H93" s="2">
        <v>186</v>
      </c>
      <c r="I93" s="2">
        <v>11</v>
      </c>
      <c r="J93" s="2">
        <v>15</v>
      </c>
      <c r="K93" s="2">
        <v>15</v>
      </c>
      <c r="L93" s="2">
        <v>186</v>
      </c>
      <c r="M93" s="2">
        <v>15</v>
      </c>
      <c r="N93" s="2">
        <v>15</v>
      </c>
      <c r="O93" s="2">
        <v>15</v>
      </c>
      <c r="P93" s="2">
        <v>186</v>
      </c>
      <c r="Q93" s="2">
        <v>277</v>
      </c>
      <c r="R93" s="2">
        <v>15</v>
      </c>
      <c r="S93" s="2">
        <v>15</v>
      </c>
      <c r="T93" s="2">
        <v>15</v>
      </c>
      <c r="U93" s="2">
        <v>15</v>
      </c>
      <c r="V93" s="2">
        <v>15</v>
      </c>
      <c r="W93" s="2">
        <v>186</v>
      </c>
    </row>
    <row r="94" spans="1:23">
      <c r="A94" s="2">
        <v>92</v>
      </c>
      <c r="B94" s="2">
        <v>188</v>
      </c>
      <c r="C94" s="2">
        <v>188</v>
      </c>
      <c r="D94" s="2">
        <v>15</v>
      </c>
      <c r="E94" s="2">
        <v>15</v>
      </c>
      <c r="F94" s="2">
        <v>15</v>
      </c>
      <c r="G94" s="2">
        <v>15</v>
      </c>
      <c r="H94" s="2">
        <v>188</v>
      </c>
      <c r="I94" s="2">
        <v>11</v>
      </c>
      <c r="J94" s="2">
        <v>15</v>
      </c>
      <c r="K94" s="2">
        <v>15</v>
      </c>
      <c r="L94" s="2">
        <v>188</v>
      </c>
      <c r="M94" s="2">
        <v>15</v>
      </c>
      <c r="N94" s="2">
        <v>15</v>
      </c>
      <c r="O94" s="2">
        <v>15</v>
      </c>
      <c r="P94" s="2">
        <v>188</v>
      </c>
      <c r="Q94" s="2">
        <v>280</v>
      </c>
      <c r="R94" s="2">
        <v>15</v>
      </c>
      <c r="S94" s="2">
        <v>15</v>
      </c>
      <c r="T94" s="2">
        <v>15</v>
      </c>
      <c r="U94" s="2">
        <v>15</v>
      </c>
      <c r="V94" s="2">
        <v>15</v>
      </c>
      <c r="W94" s="2">
        <v>188</v>
      </c>
    </row>
    <row r="95" spans="1:23">
      <c r="A95" s="2">
        <v>93</v>
      </c>
      <c r="B95" s="2">
        <v>190</v>
      </c>
      <c r="C95" s="2">
        <v>190</v>
      </c>
      <c r="D95" s="2">
        <v>15</v>
      </c>
      <c r="E95" s="2">
        <v>15</v>
      </c>
      <c r="F95" s="2">
        <v>15</v>
      </c>
      <c r="G95" s="2">
        <v>15</v>
      </c>
      <c r="H95" s="2">
        <v>190</v>
      </c>
      <c r="I95" s="2">
        <v>11</v>
      </c>
      <c r="J95" s="2">
        <v>15</v>
      </c>
      <c r="K95" s="2">
        <v>15</v>
      </c>
      <c r="L95" s="2">
        <v>190</v>
      </c>
      <c r="M95" s="2">
        <v>15</v>
      </c>
      <c r="N95" s="2">
        <v>15</v>
      </c>
      <c r="O95" s="2">
        <v>15</v>
      </c>
      <c r="P95" s="2">
        <v>190</v>
      </c>
      <c r="Q95" s="2">
        <v>283</v>
      </c>
      <c r="R95" s="2">
        <v>15</v>
      </c>
      <c r="S95" s="2">
        <v>15</v>
      </c>
      <c r="T95" s="2">
        <v>15</v>
      </c>
      <c r="U95" s="2">
        <v>15</v>
      </c>
      <c r="V95" s="2">
        <v>15</v>
      </c>
      <c r="W95" s="2">
        <v>190</v>
      </c>
    </row>
    <row r="96" spans="1:23">
      <c r="A96" s="2">
        <v>94</v>
      </c>
      <c r="B96" s="2">
        <v>192</v>
      </c>
      <c r="C96" s="2">
        <v>192</v>
      </c>
      <c r="D96" s="2">
        <v>15</v>
      </c>
      <c r="E96" s="2">
        <v>15</v>
      </c>
      <c r="F96" s="2">
        <v>15</v>
      </c>
      <c r="G96" s="2">
        <v>15</v>
      </c>
      <c r="H96" s="2">
        <v>192</v>
      </c>
      <c r="I96" s="2">
        <v>11</v>
      </c>
      <c r="J96" s="2">
        <v>15</v>
      </c>
      <c r="K96" s="2">
        <v>15</v>
      </c>
      <c r="L96" s="2">
        <v>192</v>
      </c>
      <c r="M96" s="2">
        <v>15</v>
      </c>
      <c r="N96" s="2">
        <v>15</v>
      </c>
      <c r="O96" s="2">
        <v>15</v>
      </c>
      <c r="P96" s="2">
        <v>192</v>
      </c>
      <c r="Q96" s="2">
        <v>286</v>
      </c>
      <c r="R96" s="2">
        <v>15</v>
      </c>
      <c r="S96" s="2">
        <v>15</v>
      </c>
      <c r="T96" s="2">
        <v>15</v>
      </c>
      <c r="U96" s="2">
        <v>15</v>
      </c>
      <c r="V96" s="2">
        <v>15</v>
      </c>
      <c r="W96" s="2">
        <v>192</v>
      </c>
    </row>
    <row r="97" spans="1:23">
      <c r="A97" s="2">
        <v>95</v>
      </c>
      <c r="B97" s="2">
        <v>194</v>
      </c>
      <c r="C97" s="2">
        <v>194</v>
      </c>
      <c r="D97" s="2">
        <v>15</v>
      </c>
      <c r="E97" s="2">
        <v>15</v>
      </c>
      <c r="F97" s="2">
        <v>15</v>
      </c>
      <c r="G97" s="2">
        <v>15</v>
      </c>
      <c r="H97" s="2">
        <v>194</v>
      </c>
      <c r="I97" s="2">
        <v>11</v>
      </c>
      <c r="J97" s="2">
        <v>15</v>
      </c>
      <c r="K97" s="2">
        <v>15</v>
      </c>
      <c r="L97" s="2">
        <v>194</v>
      </c>
      <c r="M97" s="2">
        <v>15</v>
      </c>
      <c r="N97" s="2">
        <v>15</v>
      </c>
      <c r="O97" s="2">
        <v>15</v>
      </c>
      <c r="P97" s="2">
        <v>194</v>
      </c>
      <c r="Q97" s="2">
        <v>289</v>
      </c>
      <c r="R97" s="2">
        <v>15</v>
      </c>
      <c r="S97" s="2">
        <v>15</v>
      </c>
      <c r="T97" s="2">
        <v>15</v>
      </c>
      <c r="U97" s="2">
        <v>15</v>
      </c>
      <c r="V97" s="2">
        <v>15</v>
      </c>
      <c r="W97" s="2">
        <v>194</v>
      </c>
    </row>
    <row r="98" spans="1:23">
      <c r="A98" s="2">
        <v>96</v>
      </c>
      <c r="B98" s="2">
        <v>196</v>
      </c>
      <c r="C98" s="2">
        <v>196</v>
      </c>
      <c r="D98" s="2">
        <v>16</v>
      </c>
      <c r="E98" s="2">
        <v>16</v>
      </c>
      <c r="F98" s="2">
        <v>16</v>
      </c>
      <c r="G98" s="2">
        <v>16</v>
      </c>
      <c r="H98" s="2">
        <v>196</v>
      </c>
      <c r="I98" s="2">
        <v>11</v>
      </c>
      <c r="J98" s="2">
        <v>16</v>
      </c>
      <c r="K98" s="2">
        <v>16</v>
      </c>
      <c r="L98" s="2">
        <v>196</v>
      </c>
      <c r="M98" s="2">
        <v>16</v>
      </c>
      <c r="N98" s="2">
        <v>16</v>
      </c>
      <c r="O98" s="2">
        <v>16</v>
      </c>
      <c r="P98" s="2">
        <v>196</v>
      </c>
      <c r="Q98" s="2">
        <v>292</v>
      </c>
      <c r="R98" s="2">
        <v>16</v>
      </c>
      <c r="S98" s="2">
        <v>16</v>
      </c>
      <c r="T98" s="2">
        <v>16</v>
      </c>
      <c r="U98" s="2">
        <v>16</v>
      </c>
      <c r="V98" s="2">
        <v>16</v>
      </c>
      <c r="W98" s="2">
        <v>196</v>
      </c>
    </row>
    <row r="99" spans="1:23">
      <c r="A99" s="2">
        <v>97</v>
      </c>
      <c r="B99" s="2">
        <v>198</v>
      </c>
      <c r="C99" s="2">
        <v>198</v>
      </c>
      <c r="D99" s="2">
        <v>16</v>
      </c>
      <c r="E99" s="2">
        <v>16</v>
      </c>
      <c r="F99" s="2">
        <v>16</v>
      </c>
      <c r="G99" s="2">
        <v>16</v>
      </c>
      <c r="H99" s="2">
        <v>198</v>
      </c>
      <c r="I99" s="2">
        <v>11</v>
      </c>
      <c r="J99" s="2">
        <v>16</v>
      </c>
      <c r="K99" s="2">
        <v>16</v>
      </c>
      <c r="L99" s="2">
        <v>198</v>
      </c>
      <c r="M99" s="2">
        <v>16</v>
      </c>
      <c r="N99" s="2">
        <v>16</v>
      </c>
      <c r="O99" s="2">
        <v>16</v>
      </c>
      <c r="P99" s="2">
        <v>198</v>
      </c>
      <c r="Q99" s="2">
        <v>295</v>
      </c>
      <c r="R99" s="2">
        <v>16</v>
      </c>
      <c r="S99" s="2">
        <v>16</v>
      </c>
      <c r="T99" s="2">
        <v>16</v>
      </c>
      <c r="U99" s="2">
        <v>16</v>
      </c>
      <c r="V99" s="2">
        <v>16</v>
      </c>
      <c r="W99" s="2">
        <v>198</v>
      </c>
    </row>
    <row r="100" spans="1:23">
      <c r="A100" s="2">
        <v>98</v>
      </c>
      <c r="B100" s="2">
        <v>200</v>
      </c>
      <c r="C100" s="2">
        <v>200</v>
      </c>
      <c r="D100" s="2">
        <v>16</v>
      </c>
      <c r="E100" s="2">
        <v>16</v>
      </c>
      <c r="F100" s="2">
        <v>16</v>
      </c>
      <c r="G100" s="2">
        <v>16</v>
      </c>
      <c r="H100" s="2">
        <v>200</v>
      </c>
      <c r="I100" s="2">
        <v>11</v>
      </c>
      <c r="J100" s="2">
        <v>16</v>
      </c>
      <c r="K100" s="2">
        <v>16</v>
      </c>
      <c r="L100" s="2">
        <v>200</v>
      </c>
      <c r="M100" s="2">
        <v>16</v>
      </c>
      <c r="N100" s="2">
        <v>16</v>
      </c>
      <c r="O100" s="2">
        <v>16</v>
      </c>
      <c r="P100" s="2">
        <v>200</v>
      </c>
      <c r="Q100" s="2">
        <v>298</v>
      </c>
      <c r="R100" s="2">
        <v>16</v>
      </c>
      <c r="S100" s="2">
        <v>16</v>
      </c>
      <c r="T100" s="2">
        <v>16</v>
      </c>
      <c r="U100" s="2">
        <v>16</v>
      </c>
      <c r="V100" s="2">
        <v>16</v>
      </c>
      <c r="W100" s="2">
        <v>200</v>
      </c>
    </row>
    <row r="101" spans="1:23">
      <c r="A101" s="2">
        <v>99</v>
      </c>
      <c r="B101" s="2">
        <v>202</v>
      </c>
      <c r="C101" s="2">
        <v>202</v>
      </c>
      <c r="D101" s="2">
        <v>16</v>
      </c>
      <c r="E101" s="2">
        <v>16</v>
      </c>
      <c r="F101" s="2">
        <v>16</v>
      </c>
      <c r="G101" s="2">
        <v>16</v>
      </c>
      <c r="H101" s="2">
        <v>202</v>
      </c>
      <c r="I101" s="2">
        <v>11</v>
      </c>
      <c r="J101" s="2">
        <v>16</v>
      </c>
      <c r="K101" s="2">
        <v>16</v>
      </c>
      <c r="L101" s="2">
        <v>202</v>
      </c>
      <c r="M101" s="2">
        <v>16</v>
      </c>
      <c r="N101" s="2">
        <v>16</v>
      </c>
      <c r="O101" s="2">
        <v>16</v>
      </c>
      <c r="P101" s="2">
        <v>202</v>
      </c>
      <c r="Q101" s="2">
        <v>301</v>
      </c>
      <c r="R101" s="2">
        <v>16</v>
      </c>
      <c r="S101" s="2">
        <v>16</v>
      </c>
      <c r="T101" s="2">
        <v>16</v>
      </c>
      <c r="U101" s="2">
        <v>16</v>
      </c>
      <c r="V101" s="2">
        <v>16</v>
      </c>
      <c r="W101" s="2">
        <v>202</v>
      </c>
    </row>
    <row r="102" spans="1:23">
      <c r="A102" s="2">
        <v>100</v>
      </c>
      <c r="B102" s="2">
        <v>204</v>
      </c>
      <c r="C102" s="2">
        <v>204</v>
      </c>
      <c r="D102" s="2">
        <v>16</v>
      </c>
      <c r="E102" s="2">
        <v>16</v>
      </c>
      <c r="F102" s="2">
        <v>16</v>
      </c>
      <c r="G102" s="2">
        <v>16</v>
      </c>
      <c r="H102" s="2">
        <v>204</v>
      </c>
      <c r="I102" s="2">
        <v>12</v>
      </c>
      <c r="J102" s="2">
        <v>16</v>
      </c>
      <c r="K102" s="2">
        <v>16</v>
      </c>
      <c r="L102" s="2">
        <v>204</v>
      </c>
      <c r="M102" s="2">
        <v>16</v>
      </c>
      <c r="N102" s="2">
        <v>16</v>
      </c>
      <c r="O102" s="2">
        <v>16</v>
      </c>
      <c r="P102" s="2">
        <v>204</v>
      </c>
      <c r="Q102" s="2">
        <v>304</v>
      </c>
      <c r="R102" s="2">
        <v>16</v>
      </c>
      <c r="S102" s="2">
        <v>16</v>
      </c>
      <c r="T102" s="2">
        <v>16</v>
      </c>
      <c r="U102" s="2">
        <v>16</v>
      </c>
      <c r="V102" s="2">
        <v>16</v>
      </c>
      <c r="W102" s="2">
        <v>204</v>
      </c>
    </row>
    <row r="103" spans="1:23">
      <c r="A103" s="2">
        <v>101</v>
      </c>
      <c r="B103" s="2">
        <v>206</v>
      </c>
      <c r="C103" s="2">
        <v>206</v>
      </c>
      <c r="D103" s="2">
        <v>16</v>
      </c>
      <c r="E103" s="2">
        <v>16</v>
      </c>
      <c r="F103" s="2">
        <v>16</v>
      </c>
      <c r="G103" s="2">
        <v>16</v>
      </c>
      <c r="H103" s="2">
        <v>206</v>
      </c>
      <c r="I103" s="2">
        <v>12</v>
      </c>
      <c r="J103" s="2">
        <v>16</v>
      </c>
      <c r="K103" s="2">
        <v>16</v>
      </c>
      <c r="L103" s="2">
        <v>206</v>
      </c>
      <c r="M103" s="2">
        <v>16</v>
      </c>
      <c r="N103" s="2">
        <v>16</v>
      </c>
      <c r="O103" s="2">
        <v>16</v>
      </c>
      <c r="P103" s="2">
        <v>206</v>
      </c>
      <c r="Q103" s="2">
        <v>307</v>
      </c>
      <c r="R103" s="2">
        <v>16</v>
      </c>
      <c r="S103" s="2">
        <v>16</v>
      </c>
      <c r="T103" s="2">
        <v>16</v>
      </c>
      <c r="U103" s="2">
        <v>16</v>
      </c>
      <c r="V103" s="2">
        <v>16</v>
      </c>
      <c r="W103" s="2">
        <v>206</v>
      </c>
    </row>
    <row r="104" spans="1:23">
      <c r="A104" s="2">
        <v>102</v>
      </c>
      <c r="B104" s="2">
        <v>208</v>
      </c>
      <c r="C104" s="2">
        <v>208</v>
      </c>
      <c r="D104" s="2">
        <v>16</v>
      </c>
      <c r="E104" s="2">
        <v>16</v>
      </c>
      <c r="F104" s="2">
        <v>16</v>
      </c>
      <c r="G104" s="2">
        <v>16</v>
      </c>
      <c r="H104" s="2">
        <v>208</v>
      </c>
      <c r="I104" s="2">
        <v>12</v>
      </c>
      <c r="J104" s="2">
        <v>16</v>
      </c>
      <c r="K104" s="2">
        <v>16</v>
      </c>
      <c r="L104" s="2">
        <v>208</v>
      </c>
      <c r="M104" s="2">
        <v>16</v>
      </c>
      <c r="N104" s="2">
        <v>16</v>
      </c>
      <c r="O104" s="2">
        <v>16</v>
      </c>
      <c r="P104" s="2">
        <v>208</v>
      </c>
      <c r="Q104" s="2">
        <v>310</v>
      </c>
      <c r="R104" s="2">
        <v>16</v>
      </c>
      <c r="S104" s="2">
        <v>16</v>
      </c>
      <c r="T104" s="2">
        <v>16</v>
      </c>
      <c r="U104" s="2">
        <v>16</v>
      </c>
      <c r="V104" s="2">
        <v>16</v>
      </c>
      <c r="W104" s="2">
        <v>208</v>
      </c>
    </row>
    <row r="105" spans="1:23">
      <c r="A105" s="2">
        <v>103</v>
      </c>
      <c r="B105" s="2">
        <v>210</v>
      </c>
      <c r="C105" s="2">
        <v>210</v>
      </c>
      <c r="D105" s="2">
        <v>16</v>
      </c>
      <c r="E105" s="2">
        <v>16</v>
      </c>
      <c r="F105" s="2">
        <v>16</v>
      </c>
      <c r="G105" s="2">
        <v>16</v>
      </c>
      <c r="H105" s="2">
        <v>210</v>
      </c>
      <c r="I105" s="2">
        <v>12</v>
      </c>
      <c r="J105" s="2">
        <v>16</v>
      </c>
      <c r="K105" s="2">
        <v>16</v>
      </c>
      <c r="L105" s="2">
        <v>210</v>
      </c>
      <c r="M105" s="2">
        <v>16</v>
      </c>
      <c r="N105" s="2">
        <v>16</v>
      </c>
      <c r="O105" s="2">
        <v>16</v>
      </c>
      <c r="P105" s="2">
        <v>210</v>
      </c>
      <c r="Q105" s="2">
        <v>313</v>
      </c>
      <c r="R105" s="2">
        <v>16</v>
      </c>
      <c r="S105" s="2">
        <v>16</v>
      </c>
      <c r="T105" s="2">
        <v>16</v>
      </c>
      <c r="U105" s="2">
        <v>16</v>
      </c>
      <c r="V105" s="2">
        <v>16</v>
      </c>
      <c r="W105" s="2">
        <v>210</v>
      </c>
    </row>
    <row r="106" spans="1:23">
      <c r="A106" s="2">
        <v>104</v>
      </c>
      <c r="B106" s="2">
        <v>212</v>
      </c>
      <c r="C106" s="2">
        <v>212</v>
      </c>
      <c r="D106" s="2">
        <v>17</v>
      </c>
      <c r="E106" s="2">
        <v>17</v>
      </c>
      <c r="F106" s="2">
        <v>17</v>
      </c>
      <c r="G106" s="2">
        <v>17</v>
      </c>
      <c r="H106" s="2">
        <v>212</v>
      </c>
      <c r="I106" s="2">
        <v>12</v>
      </c>
      <c r="J106" s="2">
        <v>17</v>
      </c>
      <c r="K106" s="2">
        <v>17</v>
      </c>
      <c r="L106" s="2">
        <v>212</v>
      </c>
      <c r="M106" s="2">
        <v>17</v>
      </c>
      <c r="N106" s="2">
        <v>17</v>
      </c>
      <c r="O106" s="2">
        <v>17</v>
      </c>
      <c r="P106" s="2">
        <v>212</v>
      </c>
      <c r="Q106" s="2">
        <v>316</v>
      </c>
      <c r="R106" s="2">
        <v>17</v>
      </c>
      <c r="S106" s="2">
        <v>17</v>
      </c>
      <c r="T106" s="2">
        <v>17</v>
      </c>
      <c r="U106" s="2">
        <v>17</v>
      </c>
      <c r="V106" s="2">
        <v>17</v>
      </c>
      <c r="W106" s="2">
        <v>212</v>
      </c>
    </row>
    <row r="107" spans="1:23">
      <c r="A107" s="2">
        <v>105</v>
      </c>
      <c r="B107" s="2">
        <v>214</v>
      </c>
      <c r="C107" s="2">
        <v>214</v>
      </c>
      <c r="D107" s="2">
        <v>17</v>
      </c>
      <c r="E107" s="2">
        <v>17</v>
      </c>
      <c r="F107" s="2">
        <v>17</v>
      </c>
      <c r="G107" s="2">
        <v>17</v>
      </c>
      <c r="H107" s="2">
        <v>214</v>
      </c>
      <c r="I107" s="2">
        <v>12</v>
      </c>
      <c r="J107" s="2">
        <v>17</v>
      </c>
      <c r="K107" s="2">
        <v>17</v>
      </c>
      <c r="L107" s="2">
        <v>214</v>
      </c>
      <c r="M107" s="2">
        <v>17</v>
      </c>
      <c r="N107" s="2">
        <v>17</v>
      </c>
      <c r="O107" s="2">
        <v>17</v>
      </c>
      <c r="P107" s="2">
        <v>214</v>
      </c>
      <c r="Q107" s="2">
        <v>319</v>
      </c>
      <c r="R107" s="2">
        <v>17</v>
      </c>
      <c r="S107" s="2">
        <v>17</v>
      </c>
      <c r="T107" s="2">
        <v>17</v>
      </c>
      <c r="U107" s="2">
        <v>17</v>
      </c>
      <c r="V107" s="2">
        <v>17</v>
      </c>
      <c r="W107" s="2">
        <v>214</v>
      </c>
    </row>
    <row r="108" spans="1:23">
      <c r="A108" s="2">
        <v>106</v>
      </c>
      <c r="B108" s="2">
        <v>216</v>
      </c>
      <c r="C108" s="2">
        <v>216</v>
      </c>
      <c r="D108" s="2">
        <v>17</v>
      </c>
      <c r="E108" s="2">
        <v>17</v>
      </c>
      <c r="F108" s="2">
        <v>17</v>
      </c>
      <c r="G108" s="2">
        <v>17</v>
      </c>
      <c r="H108" s="2">
        <v>216</v>
      </c>
      <c r="I108" s="2">
        <v>12</v>
      </c>
      <c r="J108" s="2">
        <v>17</v>
      </c>
      <c r="K108" s="2">
        <v>17</v>
      </c>
      <c r="L108" s="2">
        <v>216</v>
      </c>
      <c r="M108" s="2">
        <v>17</v>
      </c>
      <c r="N108" s="2">
        <v>17</v>
      </c>
      <c r="O108" s="2">
        <v>17</v>
      </c>
      <c r="P108" s="2">
        <v>216</v>
      </c>
      <c r="Q108" s="2">
        <v>322</v>
      </c>
      <c r="R108" s="2">
        <v>17</v>
      </c>
      <c r="S108" s="2">
        <v>17</v>
      </c>
      <c r="T108" s="2">
        <v>17</v>
      </c>
      <c r="U108" s="2">
        <v>17</v>
      </c>
      <c r="V108" s="2">
        <v>17</v>
      </c>
      <c r="W108" s="2">
        <v>216</v>
      </c>
    </row>
    <row r="109" spans="1:23">
      <c r="A109" s="2">
        <v>107</v>
      </c>
      <c r="B109" s="2">
        <v>218</v>
      </c>
      <c r="C109" s="2">
        <v>218</v>
      </c>
      <c r="D109" s="2">
        <v>17</v>
      </c>
      <c r="E109" s="2">
        <v>17</v>
      </c>
      <c r="F109" s="2">
        <v>17</v>
      </c>
      <c r="G109" s="2">
        <v>17</v>
      </c>
      <c r="H109" s="2">
        <v>218</v>
      </c>
      <c r="I109" s="2">
        <v>12</v>
      </c>
      <c r="J109" s="2">
        <v>17</v>
      </c>
      <c r="K109" s="2">
        <v>17</v>
      </c>
      <c r="L109" s="2">
        <v>218</v>
      </c>
      <c r="M109" s="2">
        <v>17</v>
      </c>
      <c r="N109" s="2">
        <v>17</v>
      </c>
      <c r="O109" s="2">
        <v>17</v>
      </c>
      <c r="P109" s="2">
        <v>218</v>
      </c>
      <c r="Q109" s="2">
        <v>325</v>
      </c>
      <c r="R109" s="2">
        <v>17</v>
      </c>
      <c r="S109" s="2">
        <v>17</v>
      </c>
      <c r="T109" s="2">
        <v>17</v>
      </c>
      <c r="U109" s="2">
        <v>17</v>
      </c>
      <c r="V109" s="2">
        <v>17</v>
      </c>
      <c r="W109" s="2">
        <v>218</v>
      </c>
    </row>
    <row r="110" spans="1:23">
      <c r="A110" s="2">
        <v>108</v>
      </c>
      <c r="B110" s="2">
        <v>220</v>
      </c>
      <c r="C110" s="2">
        <v>220</v>
      </c>
      <c r="D110" s="2">
        <v>17</v>
      </c>
      <c r="E110" s="2">
        <v>17</v>
      </c>
      <c r="F110" s="2">
        <v>17</v>
      </c>
      <c r="G110" s="2">
        <v>17</v>
      </c>
      <c r="H110" s="2">
        <v>220</v>
      </c>
      <c r="I110" s="2">
        <v>12</v>
      </c>
      <c r="J110" s="2">
        <v>17</v>
      </c>
      <c r="K110" s="2">
        <v>17</v>
      </c>
      <c r="L110" s="2">
        <v>220</v>
      </c>
      <c r="M110" s="2">
        <v>17</v>
      </c>
      <c r="N110" s="2">
        <v>17</v>
      </c>
      <c r="O110" s="2">
        <v>17</v>
      </c>
      <c r="P110" s="2">
        <v>220</v>
      </c>
      <c r="Q110" s="2">
        <v>328</v>
      </c>
      <c r="R110" s="2">
        <v>17</v>
      </c>
      <c r="S110" s="2">
        <v>17</v>
      </c>
      <c r="T110" s="2">
        <v>17</v>
      </c>
      <c r="U110" s="2">
        <v>17</v>
      </c>
      <c r="V110" s="2">
        <v>17</v>
      </c>
      <c r="W110" s="2">
        <v>220</v>
      </c>
    </row>
    <row r="111" spans="1:23">
      <c r="A111" s="2">
        <v>109</v>
      </c>
      <c r="B111" s="2">
        <v>222</v>
      </c>
      <c r="C111" s="2">
        <v>222</v>
      </c>
      <c r="D111" s="2">
        <v>17</v>
      </c>
      <c r="E111" s="2">
        <v>17</v>
      </c>
      <c r="F111" s="2">
        <v>17</v>
      </c>
      <c r="G111" s="2">
        <v>17</v>
      </c>
      <c r="H111" s="2">
        <v>222</v>
      </c>
      <c r="I111" s="2">
        <v>12</v>
      </c>
      <c r="J111" s="2">
        <v>17</v>
      </c>
      <c r="K111" s="2">
        <v>17</v>
      </c>
      <c r="L111" s="2">
        <v>222</v>
      </c>
      <c r="M111" s="2">
        <v>17</v>
      </c>
      <c r="N111" s="2">
        <v>17</v>
      </c>
      <c r="O111" s="2">
        <v>17</v>
      </c>
      <c r="P111" s="2">
        <v>222</v>
      </c>
      <c r="Q111" s="2">
        <v>331</v>
      </c>
      <c r="R111" s="2">
        <v>17</v>
      </c>
      <c r="S111" s="2">
        <v>17</v>
      </c>
      <c r="T111" s="2">
        <v>17</v>
      </c>
      <c r="U111" s="2">
        <v>17</v>
      </c>
      <c r="V111" s="2">
        <v>17</v>
      </c>
      <c r="W111" s="2">
        <v>222</v>
      </c>
    </row>
    <row r="112" spans="1:23">
      <c r="A112" s="2">
        <v>110</v>
      </c>
      <c r="B112" s="2">
        <v>224</v>
      </c>
      <c r="C112" s="2">
        <v>224</v>
      </c>
      <c r="D112" s="2">
        <v>17</v>
      </c>
      <c r="E112" s="2">
        <v>17</v>
      </c>
      <c r="F112" s="2">
        <v>17</v>
      </c>
      <c r="G112" s="2">
        <v>17</v>
      </c>
      <c r="H112" s="2">
        <v>224</v>
      </c>
      <c r="I112" s="2">
        <v>13</v>
      </c>
      <c r="J112" s="2">
        <v>17</v>
      </c>
      <c r="K112" s="2">
        <v>17</v>
      </c>
      <c r="L112" s="2">
        <v>224</v>
      </c>
      <c r="M112" s="2">
        <v>17</v>
      </c>
      <c r="N112" s="2">
        <v>17</v>
      </c>
      <c r="O112" s="2">
        <v>17</v>
      </c>
      <c r="P112" s="2">
        <v>224</v>
      </c>
      <c r="Q112" s="2">
        <v>334</v>
      </c>
      <c r="R112" s="2">
        <v>17</v>
      </c>
      <c r="S112" s="2">
        <v>17</v>
      </c>
      <c r="T112" s="2">
        <v>17</v>
      </c>
      <c r="U112" s="2">
        <v>17</v>
      </c>
      <c r="V112" s="2">
        <v>17</v>
      </c>
      <c r="W112" s="2">
        <v>224</v>
      </c>
    </row>
    <row r="113" spans="1:23">
      <c r="A113" s="2">
        <v>111</v>
      </c>
      <c r="B113" s="2">
        <v>226</v>
      </c>
      <c r="C113" s="2">
        <v>226</v>
      </c>
      <c r="D113" s="2">
        <v>17</v>
      </c>
      <c r="E113" s="2">
        <v>17</v>
      </c>
      <c r="F113" s="2">
        <v>17</v>
      </c>
      <c r="G113" s="2">
        <v>17</v>
      </c>
      <c r="H113" s="2">
        <v>226</v>
      </c>
      <c r="I113" s="2">
        <v>13</v>
      </c>
      <c r="J113" s="2">
        <v>17</v>
      </c>
      <c r="K113" s="2">
        <v>17</v>
      </c>
      <c r="L113" s="2">
        <v>226</v>
      </c>
      <c r="M113" s="2">
        <v>17</v>
      </c>
      <c r="N113" s="2">
        <v>17</v>
      </c>
      <c r="O113" s="2">
        <v>17</v>
      </c>
      <c r="P113" s="2">
        <v>226</v>
      </c>
      <c r="Q113" s="2">
        <v>337</v>
      </c>
      <c r="R113" s="2">
        <v>17</v>
      </c>
      <c r="S113" s="2">
        <v>17</v>
      </c>
      <c r="T113" s="2">
        <v>17</v>
      </c>
      <c r="U113" s="2">
        <v>17</v>
      </c>
      <c r="V113" s="2">
        <v>17</v>
      </c>
      <c r="W113" s="2">
        <v>226</v>
      </c>
    </row>
    <row r="114" spans="1:23">
      <c r="A114" s="2">
        <v>112</v>
      </c>
      <c r="B114" s="2">
        <v>228</v>
      </c>
      <c r="C114" s="2">
        <v>228</v>
      </c>
      <c r="D114" s="2">
        <v>18</v>
      </c>
      <c r="E114" s="2">
        <v>18</v>
      </c>
      <c r="F114" s="2">
        <v>18</v>
      </c>
      <c r="G114" s="2">
        <v>18</v>
      </c>
      <c r="H114" s="2">
        <v>228</v>
      </c>
      <c r="I114" s="2">
        <v>13</v>
      </c>
      <c r="J114" s="2">
        <v>18</v>
      </c>
      <c r="K114" s="2">
        <v>18</v>
      </c>
      <c r="L114" s="2">
        <v>228</v>
      </c>
      <c r="M114" s="2">
        <v>18</v>
      </c>
      <c r="N114" s="2">
        <v>18</v>
      </c>
      <c r="O114" s="2">
        <v>18</v>
      </c>
      <c r="P114" s="2">
        <v>228</v>
      </c>
      <c r="Q114" s="2">
        <v>340</v>
      </c>
      <c r="R114" s="2">
        <v>18</v>
      </c>
      <c r="S114" s="2">
        <v>18</v>
      </c>
      <c r="T114" s="2">
        <v>18</v>
      </c>
      <c r="U114" s="2">
        <v>18</v>
      </c>
      <c r="V114" s="2">
        <v>18</v>
      </c>
      <c r="W114" s="2">
        <v>228</v>
      </c>
    </row>
    <row r="115" spans="1:23">
      <c r="A115" s="2">
        <v>113</v>
      </c>
      <c r="B115" s="2">
        <v>230</v>
      </c>
      <c r="C115" s="2">
        <v>230</v>
      </c>
      <c r="D115" s="2">
        <v>18</v>
      </c>
      <c r="E115" s="2">
        <v>18</v>
      </c>
      <c r="F115" s="2">
        <v>18</v>
      </c>
      <c r="G115" s="2">
        <v>18</v>
      </c>
      <c r="H115" s="2">
        <v>230</v>
      </c>
      <c r="I115" s="2">
        <v>13</v>
      </c>
      <c r="J115" s="2">
        <v>18</v>
      </c>
      <c r="K115" s="2">
        <v>18</v>
      </c>
      <c r="L115" s="2">
        <v>230</v>
      </c>
      <c r="M115" s="2">
        <v>18</v>
      </c>
      <c r="N115" s="2">
        <v>18</v>
      </c>
      <c r="O115" s="2">
        <v>18</v>
      </c>
      <c r="P115" s="2">
        <v>230</v>
      </c>
      <c r="Q115" s="2">
        <v>343</v>
      </c>
      <c r="R115" s="2">
        <v>18</v>
      </c>
      <c r="S115" s="2">
        <v>18</v>
      </c>
      <c r="T115" s="2">
        <v>18</v>
      </c>
      <c r="U115" s="2">
        <v>18</v>
      </c>
      <c r="V115" s="2">
        <v>18</v>
      </c>
      <c r="W115" s="2">
        <v>230</v>
      </c>
    </row>
    <row r="116" spans="1:23">
      <c r="A116" s="2">
        <v>114</v>
      </c>
      <c r="B116" s="2">
        <v>232</v>
      </c>
      <c r="C116" s="2">
        <v>232</v>
      </c>
      <c r="D116" s="2">
        <v>18</v>
      </c>
      <c r="E116" s="2">
        <v>18</v>
      </c>
      <c r="F116" s="2">
        <v>18</v>
      </c>
      <c r="G116" s="2">
        <v>18</v>
      </c>
      <c r="H116" s="2">
        <v>232</v>
      </c>
      <c r="I116" s="2">
        <v>13</v>
      </c>
      <c r="J116" s="2">
        <v>18</v>
      </c>
      <c r="K116" s="2">
        <v>18</v>
      </c>
      <c r="L116" s="2">
        <v>232</v>
      </c>
      <c r="M116" s="2">
        <v>18</v>
      </c>
      <c r="N116" s="2">
        <v>18</v>
      </c>
      <c r="O116" s="2">
        <v>18</v>
      </c>
      <c r="P116" s="2">
        <v>232</v>
      </c>
      <c r="Q116" s="2">
        <v>346</v>
      </c>
      <c r="R116" s="2">
        <v>18</v>
      </c>
      <c r="S116" s="2">
        <v>18</v>
      </c>
      <c r="T116" s="2">
        <v>18</v>
      </c>
      <c r="U116" s="2">
        <v>18</v>
      </c>
      <c r="V116" s="2">
        <v>18</v>
      </c>
      <c r="W116" s="2">
        <v>232</v>
      </c>
    </row>
    <row r="117" spans="1:23">
      <c r="A117" s="2">
        <v>115</v>
      </c>
      <c r="B117" s="2">
        <v>234</v>
      </c>
      <c r="C117" s="2">
        <v>234</v>
      </c>
      <c r="D117" s="2">
        <v>18</v>
      </c>
      <c r="E117" s="2">
        <v>18</v>
      </c>
      <c r="F117" s="2">
        <v>18</v>
      </c>
      <c r="G117" s="2">
        <v>18</v>
      </c>
      <c r="H117" s="2">
        <v>234</v>
      </c>
      <c r="I117" s="2">
        <v>13</v>
      </c>
      <c r="J117" s="2">
        <v>18</v>
      </c>
      <c r="K117" s="2">
        <v>18</v>
      </c>
      <c r="L117" s="2">
        <v>234</v>
      </c>
      <c r="M117" s="2">
        <v>18</v>
      </c>
      <c r="N117" s="2">
        <v>18</v>
      </c>
      <c r="O117" s="2">
        <v>18</v>
      </c>
      <c r="P117" s="2">
        <v>234</v>
      </c>
      <c r="Q117" s="2">
        <v>349</v>
      </c>
      <c r="R117" s="2">
        <v>18</v>
      </c>
      <c r="S117" s="2">
        <v>18</v>
      </c>
      <c r="T117" s="2">
        <v>18</v>
      </c>
      <c r="U117" s="2">
        <v>18</v>
      </c>
      <c r="V117" s="2">
        <v>18</v>
      </c>
      <c r="W117" s="2">
        <v>234</v>
      </c>
    </row>
    <row r="118" spans="1:23">
      <c r="A118" s="2">
        <v>116</v>
      </c>
      <c r="B118" s="2">
        <v>236</v>
      </c>
      <c r="C118" s="2">
        <v>236</v>
      </c>
      <c r="D118" s="2">
        <v>18</v>
      </c>
      <c r="E118" s="2">
        <v>18</v>
      </c>
      <c r="F118" s="2">
        <v>18</v>
      </c>
      <c r="G118" s="2">
        <v>18</v>
      </c>
      <c r="H118" s="2">
        <v>236</v>
      </c>
      <c r="I118" s="2">
        <v>13</v>
      </c>
      <c r="J118" s="2">
        <v>18</v>
      </c>
      <c r="K118" s="2">
        <v>18</v>
      </c>
      <c r="L118" s="2">
        <v>236</v>
      </c>
      <c r="M118" s="2">
        <v>18</v>
      </c>
      <c r="N118" s="2">
        <v>18</v>
      </c>
      <c r="O118" s="2">
        <v>18</v>
      </c>
      <c r="P118" s="2">
        <v>236</v>
      </c>
      <c r="Q118" s="2">
        <v>352</v>
      </c>
      <c r="R118" s="2">
        <v>18</v>
      </c>
      <c r="S118" s="2">
        <v>18</v>
      </c>
      <c r="T118" s="2">
        <v>18</v>
      </c>
      <c r="U118" s="2">
        <v>18</v>
      </c>
      <c r="V118" s="2">
        <v>18</v>
      </c>
      <c r="W118" s="2">
        <v>236</v>
      </c>
    </row>
    <row r="119" spans="1:23">
      <c r="A119" s="2">
        <v>117</v>
      </c>
      <c r="B119" s="2">
        <v>238</v>
      </c>
      <c r="C119" s="2">
        <v>238</v>
      </c>
      <c r="D119" s="2">
        <v>18</v>
      </c>
      <c r="E119" s="2">
        <v>18</v>
      </c>
      <c r="F119" s="2">
        <v>18</v>
      </c>
      <c r="G119" s="2">
        <v>18</v>
      </c>
      <c r="H119" s="2">
        <v>238</v>
      </c>
      <c r="I119" s="2">
        <v>13</v>
      </c>
      <c r="J119" s="2">
        <v>18</v>
      </c>
      <c r="K119" s="2">
        <v>18</v>
      </c>
      <c r="L119" s="2">
        <v>238</v>
      </c>
      <c r="M119" s="2">
        <v>18</v>
      </c>
      <c r="N119" s="2">
        <v>18</v>
      </c>
      <c r="O119" s="2">
        <v>18</v>
      </c>
      <c r="P119" s="2">
        <v>238</v>
      </c>
      <c r="Q119" s="2">
        <v>355</v>
      </c>
      <c r="R119" s="2">
        <v>18</v>
      </c>
      <c r="S119" s="2">
        <v>18</v>
      </c>
      <c r="T119" s="2">
        <v>18</v>
      </c>
      <c r="U119" s="2">
        <v>18</v>
      </c>
      <c r="V119" s="2">
        <v>18</v>
      </c>
      <c r="W119" s="2">
        <v>238</v>
      </c>
    </row>
    <row r="120" spans="1:23">
      <c r="A120" s="2">
        <v>118</v>
      </c>
      <c r="B120" s="2">
        <v>240</v>
      </c>
      <c r="C120" s="2">
        <v>240</v>
      </c>
      <c r="D120" s="2">
        <v>18</v>
      </c>
      <c r="E120" s="2">
        <v>18</v>
      </c>
      <c r="F120" s="2">
        <v>18</v>
      </c>
      <c r="G120" s="2">
        <v>18</v>
      </c>
      <c r="H120" s="2">
        <v>240</v>
      </c>
      <c r="I120" s="2">
        <v>13</v>
      </c>
      <c r="J120" s="2">
        <v>18</v>
      </c>
      <c r="K120" s="2">
        <v>18</v>
      </c>
      <c r="L120" s="2">
        <v>240</v>
      </c>
      <c r="M120" s="2">
        <v>18</v>
      </c>
      <c r="N120" s="2">
        <v>18</v>
      </c>
      <c r="O120" s="2">
        <v>18</v>
      </c>
      <c r="P120" s="2">
        <v>240</v>
      </c>
      <c r="Q120" s="2">
        <v>358</v>
      </c>
      <c r="R120" s="2">
        <v>18</v>
      </c>
      <c r="S120" s="2">
        <v>18</v>
      </c>
      <c r="T120" s="2">
        <v>18</v>
      </c>
      <c r="U120" s="2">
        <v>18</v>
      </c>
      <c r="V120" s="2">
        <v>18</v>
      </c>
      <c r="W120" s="2">
        <v>240</v>
      </c>
    </row>
    <row r="121" spans="1:23">
      <c r="A121" s="2">
        <v>119</v>
      </c>
      <c r="B121" s="2">
        <v>242</v>
      </c>
      <c r="C121" s="2">
        <v>242</v>
      </c>
      <c r="D121" s="2">
        <v>18</v>
      </c>
      <c r="E121" s="2">
        <v>18</v>
      </c>
      <c r="F121" s="2">
        <v>18</v>
      </c>
      <c r="G121" s="2">
        <v>18</v>
      </c>
      <c r="H121" s="2">
        <v>242</v>
      </c>
      <c r="I121" s="2">
        <v>13</v>
      </c>
      <c r="J121" s="2">
        <v>18</v>
      </c>
      <c r="K121" s="2">
        <v>18</v>
      </c>
      <c r="L121" s="2">
        <v>242</v>
      </c>
      <c r="M121" s="2">
        <v>18</v>
      </c>
      <c r="N121" s="2">
        <v>18</v>
      </c>
      <c r="O121" s="2">
        <v>18</v>
      </c>
      <c r="P121" s="2">
        <v>242</v>
      </c>
      <c r="Q121" s="2">
        <v>361</v>
      </c>
      <c r="R121" s="2">
        <v>18</v>
      </c>
      <c r="S121" s="2">
        <v>18</v>
      </c>
      <c r="T121" s="2">
        <v>18</v>
      </c>
      <c r="U121" s="2">
        <v>18</v>
      </c>
      <c r="V121" s="2">
        <v>18</v>
      </c>
      <c r="W121" s="2">
        <v>242</v>
      </c>
    </row>
    <row r="122" spans="1:23">
      <c r="A122" s="2">
        <v>120</v>
      </c>
      <c r="B122" s="2">
        <v>244</v>
      </c>
      <c r="C122" s="2">
        <v>244</v>
      </c>
      <c r="D122" s="2">
        <v>19</v>
      </c>
      <c r="E122" s="2">
        <v>19</v>
      </c>
      <c r="F122" s="2">
        <v>19</v>
      </c>
      <c r="G122" s="2">
        <v>19</v>
      </c>
      <c r="H122" s="2">
        <v>244</v>
      </c>
      <c r="I122" s="2">
        <v>14</v>
      </c>
      <c r="J122" s="2">
        <v>19</v>
      </c>
      <c r="K122" s="2">
        <v>19</v>
      </c>
      <c r="L122" s="2">
        <v>244</v>
      </c>
      <c r="M122" s="2">
        <v>19</v>
      </c>
      <c r="N122" s="2">
        <v>19</v>
      </c>
      <c r="O122" s="2">
        <v>19</v>
      </c>
      <c r="P122" s="2">
        <v>244</v>
      </c>
      <c r="Q122" s="2">
        <v>364</v>
      </c>
      <c r="R122" s="2">
        <v>19</v>
      </c>
      <c r="S122" s="2">
        <v>19</v>
      </c>
      <c r="T122" s="2">
        <v>19</v>
      </c>
      <c r="U122" s="2">
        <v>19</v>
      </c>
      <c r="V122" s="2">
        <v>19</v>
      </c>
      <c r="W122" s="2">
        <v>244</v>
      </c>
    </row>
    <row r="123" spans="1:23">
      <c r="A123" s="2">
        <v>121</v>
      </c>
      <c r="B123" s="2">
        <v>246</v>
      </c>
      <c r="C123" s="2">
        <v>246</v>
      </c>
      <c r="D123" s="2">
        <v>19</v>
      </c>
      <c r="E123" s="2">
        <v>19</v>
      </c>
      <c r="F123" s="2">
        <v>19</v>
      </c>
      <c r="G123" s="2">
        <v>19</v>
      </c>
      <c r="H123" s="2">
        <v>246</v>
      </c>
      <c r="I123" s="2">
        <v>14</v>
      </c>
      <c r="J123" s="2">
        <v>19</v>
      </c>
      <c r="K123" s="2">
        <v>19</v>
      </c>
      <c r="L123" s="2">
        <v>246</v>
      </c>
      <c r="M123" s="2">
        <v>19</v>
      </c>
      <c r="N123" s="2">
        <v>19</v>
      </c>
      <c r="O123" s="2">
        <v>19</v>
      </c>
      <c r="P123" s="2">
        <v>246</v>
      </c>
      <c r="Q123" s="2">
        <v>367</v>
      </c>
      <c r="R123" s="2">
        <v>19</v>
      </c>
      <c r="S123" s="2">
        <v>19</v>
      </c>
      <c r="T123" s="2">
        <v>19</v>
      </c>
      <c r="U123" s="2">
        <v>19</v>
      </c>
      <c r="V123" s="2">
        <v>19</v>
      </c>
      <c r="W123" s="2">
        <v>246</v>
      </c>
    </row>
    <row r="124" spans="1:23">
      <c r="A124" s="2">
        <v>122</v>
      </c>
      <c r="B124" s="2">
        <v>248</v>
      </c>
      <c r="C124" s="2">
        <v>248</v>
      </c>
      <c r="D124" s="2">
        <v>19</v>
      </c>
      <c r="E124" s="2">
        <v>19</v>
      </c>
      <c r="F124" s="2">
        <v>19</v>
      </c>
      <c r="G124" s="2">
        <v>19</v>
      </c>
      <c r="H124" s="2">
        <v>248</v>
      </c>
      <c r="I124" s="2">
        <v>14</v>
      </c>
      <c r="J124" s="2">
        <v>19</v>
      </c>
      <c r="K124" s="2">
        <v>19</v>
      </c>
      <c r="L124" s="2">
        <v>248</v>
      </c>
      <c r="M124" s="2">
        <v>19</v>
      </c>
      <c r="N124" s="2">
        <v>19</v>
      </c>
      <c r="O124" s="2">
        <v>19</v>
      </c>
      <c r="P124" s="2">
        <v>248</v>
      </c>
      <c r="Q124" s="2">
        <v>370</v>
      </c>
      <c r="R124" s="2">
        <v>19</v>
      </c>
      <c r="S124" s="2">
        <v>19</v>
      </c>
      <c r="T124" s="2">
        <v>19</v>
      </c>
      <c r="U124" s="2">
        <v>19</v>
      </c>
      <c r="V124" s="2">
        <v>19</v>
      </c>
      <c r="W124" s="2">
        <v>248</v>
      </c>
    </row>
    <row r="125" spans="1:23">
      <c r="A125" s="2">
        <v>123</v>
      </c>
      <c r="B125" s="2">
        <v>250</v>
      </c>
      <c r="C125" s="2">
        <v>250</v>
      </c>
      <c r="D125" s="2">
        <v>19</v>
      </c>
      <c r="E125" s="2">
        <v>19</v>
      </c>
      <c r="F125" s="2">
        <v>19</v>
      </c>
      <c r="G125" s="2">
        <v>19</v>
      </c>
      <c r="H125" s="2">
        <v>250</v>
      </c>
      <c r="I125" s="2">
        <v>14</v>
      </c>
      <c r="J125" s="2">
        <v>19</v>
      </c>
      <c r="K125" s="2">
        <v>19</v>
      </c>
      <c r="L125" s="2">
        <v>250</v>
      </c>
      <c r="M125" s="2">
        <v>19</v>
      </c>
      <c r="N125" s="2">
        <v>19</v>
      </c>
      <c r="O125" s="2">
        <v>19</v>
      </c>
      <c r="P125" s="2">
        <v>250</v>
      </c>
      <c r="Q125" s="2">
        <v>373</v>
      </c>
      <c r="R125" s="2">
        <v>19</v>
      </c>
      <c r="S125" s="2">
        <v>19</v>
      </c>
      <c r="T125" s="2">
        <v>19</v>
      </c>
      <c r="U125" s="2">
        <v>19</v>
      </c>
      <c r="V125" s="2">
        <v>19</v>
      </c>
      <c r="W125" s="2">
        <v>250</v>
      </c>
    </row>
    <row r="126" spans="1:23">
      <c r="A126" s="2">
        <v>124</v>
      </c>
      <c r="B126" s="2">
        <v>252</v>
      </c>
      <c r="C126" s="2">
        <v>252</v>
      </c>
      <c r="D126" s="2">
        <v>19</v>
      </c>
      <c r="E126" s="2">
        <v>19</v>
      </c>
      <c r="F126" s="2">
        <v>19</v>
      </c>
      <c r="G126" s="2">
        <v>19</v>
      </c>
      <c r="H126" s="2">
        <v>252</v>
      </c>
      <c r="I126" s="2">
        <v>14</v>
      </c>
      <c r="J126" s="2">
        <v>19</v>
      </c>
      <c r="K126" s="2">
        <v>19</v>
      </c>
      <c r="L126" s="2">
        <v>252</v>
      </c>
      <c r="M126" s="2">
        <v>19</v>
      </c>
      <c r="N126" s="2">
        <v>19</v>
      </c>
      <c r="O126" s="2">
        <v>19</v>
      </c>
      <c r="P126" s="2">
        <v>252</v>
      </c>
      <c r="Q126" s="2">
        <v>376</v>
      </c>
      <c r="R126" s="2">
        <v>19</v>
      </c>
      <c r="S126" s="2">
        <v>19</v>
      </c>
      <c r="T126" s="2">
        <v>19</v>
      </c>
      <c r="U126" s="2">
        <v>19</v>
      </c>
      <c r="V126" s="2">
        <v>19</v>
      </c>
      <c r="W126" s="2">
        <v>252</v>
      </c>
    </row>
    <row r="127" spans="1:23">
      <c r="A127" s="2">
        <v>125</v>
      </c>
      <c r="B127" s="2">
        <v>254</v>
      </c>
      <c r="C127" s="2">
        <v>254</v>
      </c>
      <c r="D127" s="2">
        <v>19</v>
      </c>
      <c r="E127" s="2">
        <v>19</v>
      </c>
      <c r="F127" s="2">
        <v>19</v>
      </c>
      <c r="G127" s="2">
        <v>19</v>
      </c>
      <c r="H127" s="2">
        <v>254</v>
      </c>
      <c r="I127" s="2">
        <v>14</v>
      </c>
      <c r="J127" s="2">
        <v>19</v>
      </c>
      <c r="K127" s="2">
        <v>19</v>
      </c>
      <c r="L127" s="2">
        <v>254</v>
      </c>
      <c r="M127" s="2">
        <v>19</v>
      </c>
      <c r="N127" s="2">
        <v>19</v>
      </c>
      <c r="O127" s="2">
        <v>19</v>
      </c>
      <c r="P127" s="2">
        <v>254</v>
      </c>
      <c r="Q127" s="2">
        <v>379</v>
      </c>
      <c r="R127" s="2">
        <v>19</v>
      </c>
      <c r="S127" s="2">
        <v>19</v>
      </c>
      <c r="T127" s="2">
        <v>19</v>
      </c>
      <c r="U127" s="2">
        <v>19</v>
      </c>
      <c r="V127" s="2">
        <v>19</v>
      </c>
      <c r="W127" s="2">
        <v>254</v>
      </c>
    </row>
    <row r="128" spans="1:23">
      <c r="A128" s="2">
        <v>126</v>
      </c>
      <c r="B128" s="2">
        <v>256</v>
      </c>
      <c r="C128" s="2">
        <v>256</v>
      </c>
      <c r="D128" s="2">
        <v>19</v>
      </c>
      <c r="E128" s="2">
        <v>19</v>
      </c>
      <c r="F128" s="2">
        <v>19</v>
      </c>
      <c r="G128" s="2">
        <v>19</v>
      </c>
      <c r="H128" s="2">
        <v>256</v>
      </c>
      <c r="I128" s="2">
        <v>14</v>
      </c>
      <c r="J128" s="2">
        <v>19</v>
      </c>
      <c r="K128" s="2">
        <v>19</v>
      </c>
      <c r="L128" s="2">
        <v>256</v>
      </c>
      <c r="M128" s="2">
        <v>19</v>
      </c>
      <c r="N128" s="2">
        <v>19</v>
      </c>
      <c r="O128" s="2">
        <v>19</v>
      </c>
      <c r="P128" s="2">
        <v>256</v>
      </c>
      <c r="Q128" s="2">
        <v>382</v>
      </c>
      <c r="R128" s="2">
        <v>19</v>
      </c>
      <c r="S128" s="2">
        <v>19</v>
      </c>
      <c r="T128" s="2">
        <v>19</v>
      </c>
      <c r="U128" s="2">
        <v>19</v>
      </c>
      <c r="V128" s="2">
        <v>19</v>
      </c>
      <c r="W128" s="2">
        <v>256</v>
      </c>
    </row>
    <row r="129" spans="1:23">
      <c r="A129" s="2">
        <v>127</v>
      </c>
      <c r="B129" s="2">
        <v>258</v>
      </c>
      <c r="C129" s="2">
        <v>258</v>
      </c>
      <c r="D129" s="2">
        <v>19</v>
      </c>
      <c r="E129" s="2">
        <v>19</v>
      </c>
      <c r="F129" s="2">
        <v>19</v>
      </c>
      <c r="G129" s="2">
        <v>19</v>
      </c>
      <c r="H129" s="2">
        <v>258</v>
      </c>
      <c r="I129" s="2">
        <v>14</v>
      </c>
      <c r="J129" s="2">
        <v>19</v>
      </c>
      <c r="K129" s="2">
        <v>19</v>
      </c>
      <c r="L129" s="2">
        <v>258</v>
      </c>
      <c r="M129" s="2">
        <v>19</v>
      </c>
      <c r="N129" s="2">
        <v>19</v>
      </c>
      <c r="O129" s="2">
        <v>19</v>
      </c>
      <c r="P129" s="2">
        <v>258</v>
      </c>
      <c r="Q129" s="2">
        <v>385</v>
      </c>
      <c r="R129" s="2">
        <v>19</v>
      </c>
      <c r="S129" s="2">
        <v>19</v>
      </c>
      <c r="T129" s="2">
        <v>19</v>
      </c>
      <c r="U129" s="2">
        <v>19</v>
      </c>
      <c r="V129" s="2">
        <v>19</v>
      </c>
      <c r="W129" s="2">
        <v>258</v>
      </c>
    </row>
    <row r="130" spans="1:23">
      <c r="A130" s="2">
        <v>128</v>
      </c>
      <c r="B130" s="2">
        <v>260</v>
      </c>
      <c r="C130" s="2">
        <v>260</v>
      </c>
      <c r="D130" s="2">
        <v>20</v>
      </c>
      <c r="E130" s="2">
        <v>20</v>
      </c>
      <c r="F130" s="2">
        <v>20</v>
      </c>
      <c r="G130" s="2">
        <v>20</v>
      </c>
      <c r="H130" s="2">
        <v>260</v>
      </c>
      <c r="I130" s="2">
        <v>14</v>
      </c>
      <c r="J130" s="2">
        <v>20</v>
      </c>
      <c r="K130" s="2">
        <v>20</v>
      </c>
      <c r="L130" s="2">
        <v>260</v>
      </c>
      <c r="M130" s="2">
        <v>20</v>
      </c>
      <c r="N130" s="2">
        <v>20</v>
      </c>
      <c r="O130" s="2">
        <v>20</v>
      </c>
      <c r="P130" s="2">
        <v>260</v>
      </c>
      <c r="Q130" s="2">
        <v>388</v>
      </c>
      <c r="R130" s="2">
        <v>20</v>
      </c>
      <c r="S130" s="2">
        <v>20</v>
      </c>
      <c r="T130" s="2">
        <v>20</v>
      </c>
      <c r="U130" s="2">
        <v>20</v>
      </c>
      <c r="V130" s="2">
        <v>20</v>
      </c>
      <c r="W130" s="2">
        <v>260</v>
      </c>
    </row>
    <row r="131" spans="1:23">
      <c r="A131" s="2">
        <v>129</v>
      </c>
      <c r="B131" s="2">
        <v>262</v>
      </c>
      <c r="C131" s="2">
        <v>262</v>
      </c>
      <c r="D131" s="2">
        <v>20</v>
      </c>
      <c r="E131" s="2">
        <v>20</v>
      </c>
      <c r="F131" s="2">
        <v>20</v>
      </c>
      <c r="G131" s="2">
        <v>20</v>
      </c>
      <c r="H131" s="2">
        <v>262</v>
      </c>
      <c r="I131" s="2">
        <v>14</v>
      </c>
      <c r="J131" s="2">
        <v>20</v>
      </c>
      <c r="K131" s="2">
        <v>20</v>
      </c>
      <c r="L131" s="2">
        <v>262</v>
      </c>
      <c r="M131" s="2">
        <v>20</v>
      </c>
      <c r="N131" s="2">
        <v>20</v>
      </c>
      <c r="O131" s="2">
        <v>20</v>
      </c>
      <c r="P131" s="2">
        <v>262</v>
      </c>
      <c r="Q131" s="2">
        <v>391</v>
      </c>
      <c r="R131" s="2">
        <v>20</v>
      </c>
      <c r="S131" s="2">
        <v>20</v>
      </c>
      <c r="T131" s="2">
        <v>20</v>
      </c>
      <c r="U131" s="2">
        <v>20</v>
      </c>
      <c r="V131" s="2">
        <v>20</v>
      </c>
      <c r="W131" s="2">
        <v>262</v>
      </c>
    </row>
    <row r="132" spans="1:23">
      <c r="A132" s="2">
        <v>130</v>
      </c>
      <c r="B132" s="2">
        <v>264</v>
      </c>
      <c r="C132" s="2">
        <v>264</v>
      </c>
      <c r="D132" s="2">
        <v>20</v>
      </c>
      <c r="E132" s="2">
        <v>20</v>
      </c>
      <c r="F132" s="2">
        <v>20</v>
      </c>
      <c r="G132" s="2">
        <v>20</v>
      </c>
      <c r="H132" s="2">
        <v>264</v>
      </c>
      <c r="I132" s="2">
        <v>15</v>
      </c>
      <c r="J132" s="2">
        <v>20</v>
      </c>
      <c r="K132" s="2">
        <v>20</v>
      </c>
      <c r="L132" s="2">
        <v>264</v>
      </c>
      <c r="M132" s="2">
        <v>20</v>
      </c>
      <c r="N132" s="2">
        <v>20</v>
      </c>
      <c r="O132" s="2">
        <v>20</v>
      </c>
      <c r="P132" s="2">
        <v>264</v>
      </c>
      <c r="Q132" s="2">
        <v>394</v>
      </c>
      <c r="R132" s="2">
        <v>20</v>
      </c>
      <c r="S132" s="2">
        <v>20</v>
      </c>
      <c r="T132" s="2">
        <v>20</v>
      </c>
      <c r="U132" s="2">
        <v>20</v>
      </c>
      <c r="V132" s="2">
        <v>20</v>
      </c>
      <c r="W132" s="2">
        <v>264</v>
      </c>
    </row>
    <row r="133" spans="1:23">
      <c r="A133" s="2">
        <v>131</v>
      </c>
      <c r="B133" s="2">
        <v>266</v>
      </c>
      <c r="C133" s="2">
        <v>266</v>
      </c>
      <c r="D133" s="2">
        <v>20</v>
      </c>
      <c r="E133" s="2">
        <v>20</v>
      </c>
      <c r="F133" s="2">
        <v>20</v>
      </c>
      <c r="G133" s="2">
        <v>20</v>
      </c>
      <c r="H133" s="2">
        <v>266</v>
      </c>
      <c r="I133" s="2">
        <v>15</v>
      </c>
      <c r="J133" s="2">
        <v>20</v>
      </c>
      <c r="K133" s="2">
        <v>20</v>
      </c>
      <c r="L133" s="2">
        <v>266</v>
      </c>
      <c r="M133" s="2">
        <v>20</v>
      </c>
      <c r="N133" s="2">
        <v>20</v>
      </c>
      <c r="O133" s="2">
        <v>20</v>
      </c>
      <c r="P133" s="2">
        <v>266</v>
      </c>
      <c r="Q133" s="2">
        <v>397</v>
      </c>
      <c r="R133" s="2">
        <v>20</v>
      </c>
      <c r="S133" s="2">
        <v>20</v>
      </c>
      <c r="T133" s="2">
        <v>20</v>
      </c>
      <c r="U133" s="2">
        <v>20</v>
      </c>
      <c r="V133" s="2">
        <v>20</v>
      </c>
      <c r="W133" s="2">
        <v>266</v>
      </c>
    </row>
    <row r="134" spans="1:23">
      <c r="A134" s="2">
        <v>132</v>
      </c>
      <c r="B134" s="2">
        <v>268</v>
      </c>
      <c r="C134" s="2">
        <v>268</v>
      </c>
      <c r="D134" s="2">
        <v>20</v>
      </c>
      <c r="E134" s="2">
        <v>20</v>
      </c>
      <c r="F134" s="2">
        <v>20</v>
      </c>
      <c r="G134" s="2">
        <v>20</v>
      </c>
      <c r="H134" s="2">
        <v>268</v>
      </c>
      <c r="I134" s="2">
        <v>15</v>
      </c>
      <c r="J134" s="2">
        <v>20</v>
      </c>
      <c r="K134" s="2">
        <v>20</v>
      </c>
      <c r="L134" s="2">
        <v>268</v>
      </c>
      <c r="M134" s="2">
        <v>20</v>
      </c>
      <c r="N134" s="2">
        <v>20</v>
      </c>
      <c r="O134" s="2">
        <v>20</v>
      </c>
      <c r="P134" s="2">
        <v>268</v>
      </c>
      <c r="Q134" s="2">
        <v>400</v>
      </c>
      <c r="R134" s="2">
        <v>20</v>
      </c>
      <c r="S134" s="2">
        <v>20</v>
      </c>
      <c r="T134" s="2">
        <v>20</v>
      </c>
      <c r="U134" s="2">
        <v>20</v>
      </c>
      <c r="V134" s="2">
        <v>20</v>
      </c>
      <c r="W134" s="2">
        <v>268</v>
      </c>
    </row>
    <row r="135" spans="1:23">
      <c r="A135" s="2">
        <v>133</v>
      </c>
      <c r="B135" s="2">
        <v>270</v>
      </c>
      <c r="C135" s="2">
        <v>270</v>
      </c>
      <c r="D135" s="2">
        <v>20</v>
      </c>
      <c r="E135" s="2">
        <v>20</v>
      </c>
      <c r="F135" s="2">
        <v>20</v>
      </c>
      <c r="G135" s="2">
        <v>20</v>
      </c>
      <c r="H135" s="2">
        <v>270</v>
      </c>
      <c r="I135" s="2">
        <v>15</v>
      </c>
      <c r="J135" s="2">
        <v>20</v>
      </c>
      <c r="K135" s="2">
        <v>20</v>
      </c>
      <c r="L135" s="2">
        <v>270</v>
      </c>
      <c r="M135" s="2">
        <v>20</v>
      </c>
      <c r="N135" s="2">
        <v>20</v>
      </c>
      <c r="O135" s="2">
        <v>20</v>
      </c>
      <c r="P135" s="2">
        <v>270</v>
      </c>
      <c r="Q135" s="2">
        <v>403</v>
      </c>
      <c r="R135" s="2">
        <v>20</v>
      </c>
      <c r="S135" s="2">
        <v>20</v>
      </c>
      <c r="T135" s="2">
        <v>20</v>
      </c>
      <c r="U135" s="2">
        <v>20</v>
      </c>
      <c r="V135" s="2">
        <v>20</v>
      </c>
      <c r="W135" s="2">
        <v>270</v>
      </c>
    </row>
    <row r="136" spans="1:23">
      <c r="A136" s="2">
        <v>134</v>
      </c>
      <c r="B136" s="2">
        <v>272</v>
      </c>
      <c r="C136" s="2">
        <v>272</v>
      </c>
      <c r="D136" s="2">
        <v>20</v>
      </c>
      <c r="E136" s="2">
        <v>20</v>
      </c>
      <c r="F136" s="2">
        <v>20</v>
      </c>
      <c r="G136" s="2">
        <v>20</v>
      </c>
      <c r="H136" s="2">
        <v>272</v>
      </c>
      <c r="I136" s="2">
        <v>15</v>
      </c>
      <c r="J136" s="2">
        <v>20</v>
      </c>
      <c r="K136" s="2">
        <v>20</v>
      </c>
      <c r="L136" s="2">
        <v>272</v>
      </c>
      <c r="M136" s="2">
        <v>20</v>
      </c>
      <c r="N136" s="2">
        <v>20</v>
      </c>
      <c r="O136" s="2">
        <v>20</v>
      </c>
      <c r="P136" s="2">
        <v>272</v>
      </c>
      <c r="Q136" s="2">
        <v>406</v>
      </c>
      <c r="R136" s="2">
        <v>20</v>
      </c>
      <c r="S136" s="2">
        <v>20</v>
      </c>
      <c r="T136" s="2">
        <v>20</v>
      </c>
      <c r="U136" s="2">
        <v>20</v>
      </c>
      <c r="V136" s="2">
        <v>20</v>
      </c>
      <c r="W136" s="2">
        <v>272</v>
      </c>
    </row>
    <row r="137" spans="1:23">
      <c r="A137" s="2">
        <v>135</v>
      </c>
      <c r="B137" s="2">
        <v>274</v>
      </c>
      <c r="C137" s="2">
        <v>274</v>
      </c>
      <c r="D137" s="2">
        <v>20</v>
      </c>
      <c r="E137" s="2">
        <v>20</v>
      </c>
      <c r="F137" s="2">
        <v>20</v>
      </c>
      <c r="G137" s="2">
        <v>20</v>
      </c>
      <c r="H137" s="2">
        <v>274</v>
      </c>
      <c r="I137" s="2">
        <v>15</v>
      </c>
      <c r="J137" s="2">
        <v>20</v>
      </c>
      <c r="K137" s="2">
        <v>20</v>
      </c>
      <c r="L137" s="2">
        <v>274</v>
      </c>
      <c r="M137" s="2">
        <v>20</v>
      </c>
      <c r="N137" s="2">
        <v>20</v>
      </c>
      <c r="O137" s="2">
        <v>20</v>
      </c>
      <c r="P137" s="2">
        <v>274</v>
      </c>
      <c r="Q137" s="2">
        <v>409</v>
      </c>
      <c r="R137" s="2">
        <v>20</v>
      </c>
      <c r="S137" s="2">
        <v>20</v>
      </c>
      <c r="T137" s="2">
        <v>20</v>
      </c>
      <c r="U137" s="2">
        <v>20</v>
      </c>
      <c r="V137" s="2">
        <v>20</v>
      </c>
      <c r="W137" s="2">
        <v>274</v>
      </c>
    </row>
  </sheetData>
  <mergeCells count="1">
    <mergeCell ref="A1:W1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11"/>
  <sheetViews>
    <sheetView workbookViewId="0">
      <selection activeCell="D9" sqref="D9"/>
    </sheetView>
  </sheetViews>
  <sheetFormatPr defaultRowHeight="14.25"/>
  <cols>
    <col min="1" max="1" width="18.125" customWidth="1"/>
    <col min="2" max="2" width="15.125" customWidth="1"/>
    <col min="3" max="3" width="11" customWidth="1"/>
    <col min="4" max="4" width="11.125" customWidth="1"/>
  </cols>
  <sheetData>
    <row r="1" spans="1:8" ht="14.25" customHeight="1">
      <c r="A1" s="174" t="s">
        <v>1039</v>
      </c>
      <c r="B1" s="174"/>
      <c r="C1" s="174"/>
      <c r="D1" s="174"/>
      <c r="E1" s="45"/>
      <c r="F1" s="45"/>
      <c r="G1" s="45"/>
      <c r="H1" s="45"/>
    </row>
    <row r="2" spans="1:8" ht="25.5" customHeight="1">
      <c r="A2" s="174"/>
      <c r="B2" s="174"/>
      <c r="C2" s="174"/>
      <c r="D2" s="174"/>
      <c r="E2" s="45"/>
      <c r="F2" s="45"/>
      <c r="G2" s="45"/>
      <c r="H2" s="45"/>
    </row>
    <row r="3" spans="1:8" s="16" customFormat="1" ht="18.75" customHeight="1">
      <c r="A3" s="46" t="s">
        <v>1870</v>
      </c>
      <c r="B3" s="47" t="s">
        <v>1040</v>
      </c>
      <c r="C3" s="47" t="s">
        <v>1041</v>
      </c>
      <c r="D3" s="48" t="s">
        <v>1042</v>
      </c>
    </row>
    <row r="4" spans="1:8" ht="18.75" customHeight="1">
      <c r="A4" s="49" t="s">
        <v>1043</v>
      </c>
      <c r="B4" s="50" t="s">
        <v>1044</v>
      </c>
      <c r="C4" s="50" t="s">
        <v>1045</v>
      </c>
      <c r="D4" s="51" t="s">
        <v>1046</v>
      </c>
    </row>
    <row r="5" spans="1:8" ht="18.75" customHeight="1">
      <c r="A5" s="52" t="s">
        <v>1047</v>
      </c>
      <c r="B5" s="42" t="s">
        <v>1045</v>
      </c>
      <c r="C5" s="42" t="s">
        <v>1046</v>
      </c>
      <c r="D5" s="53" t="s">
        <v>1044</v>
      </c>
    </row>
    <row r="6" spans="1:8" ht="18.75" customHeight="1">
      <c r="A6" s="52" t="s">
        <v>1048</v>
      </c>
      <c r="B6" s="42" t="s">
        <v>1049</v>
      </c>
      <c r="C6" s="42" t="s">
        <v>1050</v>
      </c>
      <c r="D6" s="53" t="s">
        <v>1044</v>
      </c>
    </row>
    <row r="7" spans="1:8" ht="18.75" customHeight="1">
      <c r="A7" s="52" t="s">
        <v>1051</v>
      </c>
      <c r="B7" s="42" t="s">
        <v>1046</v>
      </c>
      <c r="C7" s="42" t="s">
        <v>1045</v>
      </c>
      <c r="D7" s="53" t="s">
        <v>1049</v>
      </c>
    </row>
    <row r="8" spans="1:8" ht="18.75" customHeight="1">
      <c r="A8" s="52" t="s">
        <v>1052</v>
      </c>
      <c r="B8" s="42" t="s">
        <v>1046</v>
      </c>
      <c r="C8" s="42" t="s">
        <v>1046</v>
      </c>
      <c r="D8" s="53" t="s">
        <v>1044</v>
      </c>
    </row>
    <row r="9" spans="1:8" ht="18.75" customHeight="1">
      <c r="A9" s="52" t="s">
        <v>1053</v>
      </c>
      <c r="B9" s="42" t="s">
        <v>1046</v>
      </c>
      <c r="C9" s="42" t="s">
        <v>1044</v>
      </c>
      <c r="D9" s="53" t="s">
        <v>1045</v>
      </c>
    </row>
    <row r="10" spans="1:8" ht="18.75" customHeight="1">
      <c r="A10" s="52" t="s">
        <v>1054</v>
      </c>
      <c r="B10" s="42" t="s">
        <v>1049</v>
      </c>
      <c r="C10" s="42" t="s">
        <v>1049</v>
      </c>
      <c r="D10" s="53" t="s">
        <v>1050</v>
      </c>
    </row>
    <row r="11" spans="1:8" ht="18">
      <c r="A11" s="54" t="s">
        <v>1055</v>
      </c>
      <c r="B11" s="55" t="s">
        <v>1044</v>
      </c>
      <c r="C11" s="55" t="s">
        <v>1046</v>
      </c>
      <c r="D11" s="56" t="s">
        <v>1045</v>
      </c>
    </row>
  </sheetData>
  <mergeCells count="1">
    <mergeCell ref="A1:D2"/>
  </mergeCells>
  <phoneticPr fontId="2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39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L32" sqref="L32"/>
    </sheetView>
  </sheetViews>
  <sheetFormatPr defaultRowHeight="14.25"/>
  <cols>
    <col min="1" max="1" width="4.625" style="7" customWidth="1"/>
    <col min="2" max="2" width="9.625" style="7" bestFit="1" customWidth="1"/>
    <col min="3" max="3" width="9.625" style="7" customWidth="1"/>
    <col min="4" max="4" width="3.25" style="7" customWidth="1"/>
    <col min="5" max="5" width="9.625" style="7" customWidth="1"/>
    <col min="6" max="6" width="3.25" style="7" bestFit="1" customWidth="1"/>
    <col min="7" max="7" width="9.625" style="7" customWidth="1"/>
    <col min="8" max="8" width="3.25" style="7" customWidth="1"/>
    <col min="9" max="9" width="9.625" style="7" customWidth="1"/>
    <col min="10" max="10" width="3.25" style="7" customWidth="1"/>
    <col min="11" max="11" width="9.625" style="7" customWidth="1"/>
    <col min="12" max="12" width="3.25" style="7" bestFit="1" customWidth="1"/>
    <col min="13" max="16" width="10.625" style="7" customWidth="1"/>
    <col min="17" max="16384" width="9" style="7"/>
  </cols>
  <sheetData>
    <row r="1" spans="1:16" ht="33">
      <c r="A1" s="173" t="s">
        <v>3417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</row>
    <row r="2" spans="1:16">
      <c r="A2" s="5" t="s">
        <v>1036</v>
      </c>
      <c r="B2" s="5" t="s">
        <v>3405</v>
      </c>
      <c r="C2" s="176" t="s">
        <v>3408</v>
      </c>
      <c r="D2" s="176"/>
      <c r="E2" s="176"/>
      <c r="F2" s="176"/>
      <c r="G2" s="176"/>
      <c r="H2" s="176"/>
      <c r="I2" s="176"/>
      <c r="J2" s="176"/>
      <c r="K2" s="176"/>
      <c r="L2" s="176"/>
      <c r="M2" s="5" t="s">
        <v>3409</v>
      </c>
      <c r="N2" s="5" t="s">
        <v>3410</v>
      </c>
      <c r="O2" s="5" t="s">
        <v>3411</v>
      </c>
      <c r="P2" s="5" t="s">
        <v>3412</v>
      </c>
    </row>
    <row r="3" spans="1:16">
      <c r="A3" s="154" t="s">
        <v>3407</v>
      </c>
      <c r="B3" s="1" t="s">
        <v>3343</v>
      </c>
      <c r="C3" s="1" t="s">
        <v>3350</v>
      </c>
      <c r="D3" s="1">
        <v>1</v>
      </c>
      <c r="E3" s="1" t="s">
        <v>3404</v>
      </c>
      <c r="F3" s="1">
        <v>10</v>
      </c>
      <c r="G3" s="1" t="s">
        <v>121</v>
      </c>
      <c r="H3" s="1">
        <v>10</v>
      </c>
      <c r="I3" s="1" t="s">
        <v>407</v>
      </c>
      <c r="J3" s="1">
        <v>5</v>
      </c>
      <c r="K3" s="1" t="s">
        <v>3406</v>
      </c>
      <c r="L3" s="1">
        <v>5</v>
      </c>
      <c r="M3" s="1" t="s">
        <v>3416</v>
      </c>
      <c r="N3" s="175" t="s">
        <v>3452</v>
      </c>
      <c r="O3" s="175" t="s">
        <v>3453</v>
      </c>
      <c r="P3" s="175" t="s">
        <v>3454</v>
      </c>
    </row>
    <row r="4" spans="1:16">
      <c r="A4" s="154"/>
      <c r="B4" s="1" t="s">
        <v>3344</v>
      </c>
      <c r="C4" s="1" t="s">
        <v>3356</v>
      </c>
      <c r="D4" s="1">
        <v>1</v>
      </c>
      <c r="E4" s="1" t="s">
        <v>391</v>
      </c>
      <c r="F4" s="1">
        <v>10</v>
      </c>
      <c r="G4" s="1" t="s">
        <v>121</v>
      </c>
      <c r="H4" s="1">
        <v>10</v>
      </c>
      <c r="I4" s="1" t="s">
        <v>407</v>
      </c>
      <c r="J4" s="1">
        <v>5</v>
      </c>
      <c r="K4" s="1" t="s">
        <v>1292</v>
      </c>
      <c r="L4" s="1">
        <v>5</v>
      </c>
      <c r="M4" s="1" t="s">
        <v>3413</v>
      </c>
      <c r="N4" s="175"/>
      <c r="O4" s="175"/>
      <c r="P4" s="175"/>
    </row>
    <row r="5" spans="1:16">
      <c r="A5" s="154"/>
      <c r="B5" s="1" t="s">
        <v>3345</v>
      </c>
      <c r="C5" s="1" t="s">
        <v>437</v>
      </c>
      <c r="D5" s="1">
        <v>1</v>
      </c>
      <c r="E5" s="1" t="s">
        <v>3404</v>
      </c>
      <c r="F5" s="1">
        <v>10</v>
      </c>
      <c r="G5" s="1" t="s">
        <v>121</v>
      </c>
      <c r="H5" s="1">
        <v>10</v>
      </c>
      <c r="I5" s="1" t="s">
        <v>407</v>
      </c>
      <c r="J5" s="1">
        <v>5</v>
      </c>
      <c r="K5" s="1" t="s">
        <v>3406</v>
      </c>
      <c r="L5" s="1">
        <v>5</v>
      </c>
      <c r="M5" s="1" t="s">
        <v>3414</v>
      </c>
      <c r="N5" s="175"/>
      <c r="O5" s="175"/>
      <c r="P5" s="175"/>
    </row>
    <row r="6" spans="1:16">
      <c r="A6" s="154"/>
      <c r="B6" s="1" t="s">
        <v>3346</v>
      </c>
      <c r="C6" s="1" t="s">
        <v>3362</v>
      </c>
      <c r="D6" s="1">
        <v>1</v>
      </c>
      <c r="E6" s="1" t="s">
        <v>391</v>
      </c>
      <c r="F6" s="1">
        <v>10</v>
      </c>
      <c r="G6" s="1" t="s">
        <v>121</v>
      </c>
      <c r="H6" s="1">
        <v>10</v>
      </c>
      <c r="I6" s="1" t="s">
        <v>407</v>
      </c>
      <c r="J6" s="1">
        <v>5</v>
      </c>
      <c r="K6" s="1" t="s">
        <v>1292</v>
      </c>
      <c r="L6" s="1">
        <v>5</v>
      </c>
      <c r="M6" s="1" t="s">
        <v>3415</v>
      </c>
      <c r="N6" s="175"/>
      <c r="O6" s="175"/>
      <c r="P6" s="175"/>
    </row>
    <row r="7" spans="1:16">
      <c r="A7" s="154"/>
      <c r="B7" s="1" t="s">
        <v>3347</v>
      </c>
      <c r="C7" s="1" t="s">
        <v>440</v>
      </c>
      <c r="D7" s="1">
        <v>1</v>
      </c>
      <c r="E7" s="1" t="s">
        <v>391</v>
      </c>
      <c r="F7" s="1">
        <v>10</v>
      </c>
      <c r="G7" s="1" t="s">
        <v>121</v>
      </c>
      <c r="H7" s="1">
        <v>10</v>
      </c>
      <c r="I7" s="1" t="s">
        <v>407</v>
      </c>
      <c r="J7" s="1">
        <v>5</v>
      </c>
      <c r="K7" s="1" t="s">
        <v>1292</v>
      </c>
      <c r="L7" s="1">
        <v>5</v>
      </c>
      <c r="M7" s="1" t="s">
        <v>3414</v>
      </c>
      <c r="N7" s="175"/>
      <c r="O7" s="175"/>
      <c r="P7" s="175"/>
    </row>
    <row r="8" spans="1:16">
      <c r="A8" s="154"/>
      <c r="B8" s="1" t="s">
        <v>3348</v>
      </c>
      <c r="C8" s="1" t="s">
        <v>439</v>
      </c>
      <c r="D8" s="1">
        <v>1</v>
      </c>
      <c r="E8" s="1" t="s">
        <v>3404</v>
      </c>
      <c r="F8" s="1">
        <v>10</v>
      </c>
      <c r="G8" s="1" t="s">
        <v>121</v>
      </c>
      <c r="H8" s="1">
        <v>10</v>
      </c>
      <c r="I8" s="1" t="s">
        <v>407</v>
      </c>
      <c r="J8" s="1">
        <v>5</v>
      </c>
      <c r="K8" s="1" t="s">
        <v>3406</v>
      </c>
      <c r="L8" s="1">
        <v>5</v>
      </c>
      <c r="M8" s="1" t="s">
        <v>3416</v>
      </c>
      <c r="N8" s="175"/>
      <c r="O8" s="175"/>
      <c r="P8" s="175"/>
    </row>
    <row r="10" spans="1:16">
      <c r="A10" s="154" t="s">
        <v>3474</v>
      </c>
      <c r="B10" s="1" t="s">
        <v>3349</v>
      </c>
      <c r="C10" s="1" t="s">
        <v>3350</v>
      </c>
      <c r="D10" s="1">
        <v>2</v>
      </c>
      <c r="E10" s="1" t="s">
        <v>3351</v>
      </c>
      <c r="F10" s="1">
        <v>5</v>
      </c>
      <c r="G10" s="1" t="s">
        <v>3352</v>
      </c>
      <c r="H10" s="1">
        <v>10</v>
      </c>
      <c r="I10" s="1" t="s">
        <v>3353</v>
      </c>
      <c r="J10" s="1">
        <v>5</v>
      </c>
      <c r="K10" s="1" t="s">
        <v>3354</v>
      </c>
      <c r="L10" s="1">
        <v>10</v>
      </c>
      <c r="M10" s="1" t="s">
        <v>3418</v>
      </c>
      <c r="N10" s="175" t="s">
        <v>3455</v>
      </c>
      <c r="O10" s="175" t="s">
        <v>3456</v>
      </c>
      <c r="P10" s="175" t="s">
        <v>3457</v>
      </c>
    </row>
    <row r="11" spans="1:16">
      <c r="A11" s="154"/>
      <c r="B11" s="1" t="s">
        <v>3355</v>
      </c>
      <c r="C11" s="1" t="s">
        <v>3356</v>
      </c>
      <c r="D11" s="1">
        <v>2</v>
      </c>
      <c r="E11" s="1" t="s">
        <v>3357</v>
      </c>
      <c r="F11" s="1">
        <v>10</v>
      </c>
      <c r="G11" s="1" t="s">
        <v>3352</v>
      </c>
      <c r="H11" s="1">
        <v>10</v>
      </c>
      <c r="I11" s="1" t="s">
        <v>3353</v>
      </c>
      <c r="J11" s="1">
        <v>5</v>
      </c>
      <c r="K11" s="1" t="s">
        <v>3358</v>
      </c>
      <c r="L11" s="1">
        <v>5</v>
      </c>
      <c r="M11" s="1" t="s">
        <v>3419</v>
      </c>
      <c r="N11" s="175"/>
      <c r="O11" s="175"/>
      <c r="P11" s="175"/>
    </row>
    <row r="12" spans="1:16">
      <c r="A12" s="154"/>
      <c r="B12" s="1" t="s">
        <v>3359</v>
      </c>
      <c r="C12" s="1" t="s">
        <v>3360</v>
      </c>
      <c r="D12" s="1">
        <v>2</v>
      </c>
      <c r="E12" s="1" t="s">
        <v>3351</v>
      </c>
      <c r="F12" s="1">
        <v>5</v>
      </c>
      <c r="G12" s="1" t="s">
        <v>3352</v>
      </c>
      <c r="H12" s="1">
        <v>10</v>
      </c>
      <c r="I12" s="1" t="s">
        <v>3353</v>
      </c>
      <c r="J12" s="1">
        <v>5</v>
      </c>
      <c r="K12" s="1" t="s">
        <v>3354</v>
      </c>
      <c r="L12" s="1">
        <v>10</v>
      </c>
      <c r="M12" s="1" t="s">
        <v>3420</v>
      </c>
      <c r="N12" s="175"/>
      <c r="O12" s="175"/>
      <c r="P12" s="175"/>
    </row>
    <row r="13" spans="1:16">
      <c r="A13" s="154"/>
      <c r="B13" s="1" t="s">
        <v>3361</v>
      </c>
      <c r="C13" s="1" t="s">
        <v>3362</v>
      </c>
      <c r="D13" s="1">
        <v>2</v>
      </c>
      <c r="E13" s="1" t="s">
        <v>3357</v>
      </c>
      <c r="F13" s="1">
        <v>5</v>
      </c>
      <c r="G13" s="1" t="s">
        <v>3352</v>
      </c>
      <c r="H13" s="1">
        <v>10</v>
      </c>
      <c r="I13" s="1" t="s">
        <v>3353</v>
      </c>
      <c r="J13" s="1">
        <v>5</v>
      </c>
      <c r="K13" s="1" t="s">
        <v>3358</v>
      </c>
      <c r="L13" s="1">
        <v>10</v>
      </c>
      <c r="M13" s="1" t="s">
        <v>3421</v>
      </c>
      <c r="N13" s="175"/>
      <c r="O13" s="175"/>
      <c r="P13" s="175"/>
    </row>
    <row r="14" spans="1:16">
      <c r="A14" s="154"/>
      <c r="B14" s="1" t="s">
        <v>3363</v>
      </c>
      <c r="C14" s="1" t="s">
        <v>3364</v>
      </c>
      <c r="D14" s="1">
        <v>2</v>
      </c>
      <c r="E14" s="1" t="s">
        <v>3351</v>
      </c>
      <c r="F14" s="1">
        <v>10</v>
      </c>
      <c r="G14" s="1" t="s">
        <v>3352</v>
      </c>
      <c r="H14" s="1">
        <v>10</v>
      </c>
      <c r="I14" s="1" t="s">
        <v>3353</v>
      </c>
      <c r="J14" s="1">
        <v>5</v>
      </c>
      <c r="K14" s="1" t="s">
        <v>3354</v>
      </c>
      <c r="L14" s="1">
        <v>5</v>
      </c>
      <c r="M14" s="1" t="s">
        <v>3422</v>
      </c>
      <c r="N14" s="175"/>
      <c r="O14" s="175"/>
      <c r="P14" s="175"/>
    </row>
    <row r="15" spans="1:16">
      <c r="A15" s="154"/>
      <c r="B15" s="1" t="s">
        <v>3365</v>
      </c>
      <c r="C15" s="1" t="s">
        <v>3366</v>
      </c>
      <c r="D15" s="1">
        <v>2</v>
      </c>
      <c r="E15" s="1" t="s">
        <v>3357</v>
      </c>
      <c r="F15" s="1">
        <v>10</v>
      </c>
      <c r="G15" s="1" t="s">
        <v>3352</v>
      </c>
      <c r="H15" s="1">
        <v>10</v>
      </c>
      <c r="I15" s="1" t="s">
        <v>3353</v>
      </c>
      <c r="J15" s="1">
        <v>5</v>
      </c>
      <c r="K15" s="1" t="s">
        <v>3358</v>
      </c>
      <c r="L15" s="1">
        <v>5</v>
      </c>
      <c r="M15" s="1" t="s">
        <v>3423</v>
      </c>
      <c r="N15" s="175"/>
      <c r="O15" s="175"/>
      <c r="P15" s="175"/>
    </row>
    <row r="17" spans="1:16">
      <c r="A17" s="154" t="s">
        <v>3473</v>
      </c>
      <c r="B17" s="1" t="s">
        <v>3424</v>
      </c>
      <c r="C17" s="1" t="s">
        <v>3350</v>
      </c>
      <c r="D17" s="1">
        <v>3</v>
      </c>
      <c r="E17" s="1" t="s">
        <v>3367</v>
      </c>
      <c r="F17" s="1">
        <v>5</v>
      </c>
      <c r="G17" s="1" t="s">
        <v>3368</v>
      </c>
      <c r="H17" s="1">
        <v>10</v>
      </c>
      <c r="I17" s="1" t="s">
        <v>3369</v>
      </c>
      <c r="J17" s="1">
        <v>5</v>
      </c>
      <c r="K17" s="1" t="s">
        <v>3370</v>
      </c>
      <c r="L17" s="1">
        <v>10</v>
      </c>
      <c r="M17" s="1" t="s">
        <v>3428</v>
      </c>
      <c r="N17" s="175" t="s">
        <v>3458</v>
      </c>
      <c r="O17" s="175" t="s">
        <v>3459</v>
      </c>
      <c r="P17" s="175" t="s">
        <v>3460</v>
      </c>
    </row>
    <row r="18" spans="1:16">
      <c r="A18" s="154"/>
      <c r="B18" s="1" t="s">
        <v>3425</v>
      </c>
      <c r="C18" s="1" t="s">
        <v>3356</v>
      </c>
      <c r="D18" s="1">
        <v>3</v>
      </c>
      <c r="E18" s="1" t="s">
        <v>3371</v>
      </c>
      <c r="F18" s="1">
        <v>10</v>
      </c>
      <c r="G18" s="1" t="s">
        <v>3368</v>
      </c>
      <c r="H18" s="1">
        <v>10</v>
      </c>
      <c r="I18" s="1" t="s">
        <v>3369</v>
      </c>
      <c r="J18" s="1">
        <v>5</v>
      </c>
      <c r="K18" s="1" t="s">
        <v>3372</v>
      </c>
      <c r="L18" s="1">
        <v>5</v>
      </c>
      <c r="M18" s="1" t="s">
        <v>3429</v>
      </c>
      <c r="N18" s="175"/>
      <c r="O18" s="175"/>
      <c r="P18" s="175"/>
    </row>
    <row r="19" spans="1:16">
      <c r="A19" s="154"/>
      <c r="B19" s="1" t="s">
        <v>3373</v>
      </c>
      <c r="C19" s="1" t="s">
        <v>3360</v>
      </c>
      <c r="D19" s="1">
        <v>3</v>
      </c>
      <c r="E19" s="1" t="s">
        <v>3367</v>
      </c>
      <c r="F19" s="1">
        <v>5</v>
      </c>
      <c r="G19" s="1" t="s">
        <v>3374</v>
      </c>
      <c r="H19" s="1">
        <v>5</v>
      </c>
      <c r="I19" s="1" t="s">
        <v>3375</v>
      </c>
      <c r="J19" s="1">
        <v>10</v>
      </c>
      <c r="K19" s="1" t="s">
        <v>3370</v>
      </c>
      <c r="L19" s="1">
        <v>10</v>
      </c>
      <c r="M19" s="1" t="s">
        <v>3430</v>
      </c>
      <c r="N19" s="175"/>
      <c r="O19" s="175"/>
      <c r="P19" s="175"/>
    </row>
    <row r="20" spans="1:16">
      <c r="A20" s="154"/>
      <c r="B20" s="1" t="s">
        <v>3426</v>
      </c>
      <c r="C20" s="1" t="s">
        <v>3362</v>
      </c>
      <c r="D20" s="1">
        <v>3</v>
      </c>
      <c r="E20" s="1" t="s">
        <v>3371</v>
      </c>
      <c r="F20" s="1">
        <v>10</v>
      </c>
      <c r="G20" s="1" t="s">
        <v>3374</v>
      </c>
      <c r="H20" s="1">
        <v>5</v>
      </c>
      <c r="I20" s="1" t="s">
        <v>3375</v>
      </c>
      <c r="J20" s="1">
        <v>10</v>
      </c>
      <c r="K20" s="1" t="s">
        <v>3372</v>
      </c>
      <c r="L20" s="1">
        <v>5</v>
      </c>
      <c r="M20" s="1" t="s">
        <v>3431</v>
      </c>
      <c r="N20" s="175"/>
      <c r="O20" s="175"/>
      <c r="P20" s="175"/>
    </row>
    <row r="21" spans="1:16">
      <c r="A21" s="154"/>
      <c r="B21" s="1" t="s">
        <v>3376</v>
      </c>
      <c r="C21" s="1" t="s">
        <v>3364</v>
      </c>
      <c r="D21" s="1">
        <v>3</v>
      </c>
      <c r="E21" s="1" t="s">
        <v>3367</v>
      </c>
      <c r="F21" s="1">
        <v>5</v>
      </c>
      <c r="G21" s="1" t="s">
        <v>3374</v>
      </c>
      <c r="H21" s="1">
        <v>5</v>
      </c>
      <c r="I21" s="1" t="s">
        <v>3375</v>
      </c>
      <c r="J21" s="1">
        <v>10</v>
      </c>
      <c r="K21" s="1" t="s">
        <v>3370</v>
      </c>
      <c r="L21" s="1">
        <v>10</v>
      </c>
      <c r="M21" s="1" t="s">
        <v>3430</v>
      </c>
      <c r="N21" s="175"/>
      <c r="O21" s="175"/>
      <c r="P21" s="175"/>
    </row>
    <row r="22" spans="1:16">
      <c r="A22" s="154"/>
      <c r="B22" s="1" t="s">
        <v>3427</v>
      </c>
      <c r="C22" s="1" t="s">
        <v>3366</v>
      </c>
      <c r="D22" s="1">
        <v>3</v>
      </c>
      <c r="E22" s="1" t="s">
        <v>3371</v>
      </c>
      <c r="F22" s="1">
        <v>10</v>
      </c>
      <c r="G22" s="1" t="s">
        <v>3368</v>
      </c>
      <c r="H22" s="1">
        <v>10</v>
      </c>
      <c r="I22" s="1" t="s">
        <v>3369</v>
      </c>
      <c r="J22" s="1">
        <v>5</v>
      </c>
      <c r="K22" s="1" t="s">
        <v>3372</v>
      </c>
      <c r="L22" s="1">
        <v>5</v>
      </c>
      <c r="M22" s="1" t="s">
        <v>3432</v>
      </c>
      <c r="N22" s="175"/>
      <c r="O22" s="175"/>
      <c r="P22" s="175"/>
    </row>
    <row r="24" spans="1:16">
      <c r="A24" s="154" t="s">
        <v>3465</v>
      </c>
      <c r="B24" s="1" t="s">
        <v>3377</v>
      </c>
      <c r="C24" s="1" t="s">
        <v>3378</v>
      </c>
      <c r="D24" s="1">
        <v>2</v>
      </c>
      <c r="E24" s="1" t="s">
        <v>3379</v>
      </c>
      <c r="F24" s="1">
        <v>6</v>
      </c>
      <c r="G24" s="1" t="s">
        <v>3380</v>
      </c>
      <c r="H24" s="1">
        <v>5</v>
      </c>
      <c r="I24" s="1" t="s">
        <v>3381</v>
      </c>
      <c r="J24" s="1">
        <v>10</v>
      </c>
      <c r="K24" s="1" t="s">
        <v>3382</v>
      </c>
      <c r="L24" s="1">
        <v>9</v>
      </c>
      <c r="M24" s="1" t="s">
        <v>3466</v>
      </c>
      <c r="N24" s="175" t="s">
        <v>3467</v>
      </c>
      <c r="O24" s="175" t="s">
        <v>3468</v>
      </c>
      <c r="P24" s="175" t="s">
        <v>3469</v>
      </c>
    </row>
    <row r="25" spans="1:16">
      <c r="A25" s="154"/>
      <c r="B25" s="1" t="s">
        <v>3383</v>
      </c>
      <c r="C25" s="1" t="s">
        <v>3384</v>
      </c>
      <c r="D25" s="1">
        <v>2</v>
      </c>
      <c r="E25" s="1" t="s">
        <v>3379</v>
      </c>
      <c r="F25" s="1">
        <v>6</v>
      </c>
      <c r="G25" s="1" t="s">
        <v>3385</v>
      </c>
      <c r="H25" s="1">
        <v>3</v>
      </c>
      <c r="I25" s="1" t="s">
        <v>3386</v>
      </c>
      <c r="J25" s="1">
        <v>12</v>
      </c>
      <c r="K25" s="1" t="s">
        <v>3382</v>
      </c>
      <c r="L25" s="1">
        <v>9</v>
      </c>
      <c r="M25" s="1" t="s">
        <v>3436</v>
      </c>
      <c r="N25" s="175"/>
      <c r="O25" s="175"/>
      <c r="P25" s="175"/>
    </row>
    <row r="26" spans="1:16">
      <c r="A26" s="154"/>
      <c r="B26" s="1" t="s">
        <v>3387</v>
      </c>
      <c r="C26" s="1" t="s">
        <v>3388</v>
      </c>
      <c r="D26" s="1">
        <v>2</v>
      </c>
      <c r="E26" s="1" t="s">
        <v>3389</v>
      </c>
      <c r="F26" s="1">
        <v>8</v>
      </c>
      <c r="G26" s="1" t="s">
        <v>3385</v>
      </c>
      <c r="H26" s="1">
        <v>3</v>
      </c>
      <c r="I26" s="1" t="s">
        <v>3386</v>
      </c>
      <c r="J26" s="1">
        <v>12</v>
      </c>
      <c r="K26" s="1" t="s">
        <v>3390</v>
      </c>
      <c r="L26" s="1">
        <v>7</v>
      </c>
      <c r="M26" s="1" t="s">
        <v>3437</v>
      </c>
      <c r="N26" s="175"/>
      <c r="O26" s="175"/>
      <c r="P26" s="175"/>
    </row>
    <row r="27" spans="1:16">
      <c r="A27" s="154"/>
      <c r="B27" s="1" t="s">
        <v>3391</v>
      </c>
      <c r="C27" s="1" t="s">
        <v>3392</v>
      </c>
      <c r="D27" s="1">
        <v>2</v>
      </c>
      <c r="E27" s="1" t="s">
        <v>3379</v>
      </c>
      <c r="F27" s="1">
        <v>6</v>
      </c>
      <c r="G27" s="1" t="s">
        <v>3380</v>
      </c>
      <c r="H27" s="1">
        <v>5</v>
      </c>
      <c r="I27" s="1" t="s">
        <v>3381</v>
      </c>
      <c r="J27" s="1">
        <v>10</v>
      </c>
      <c r="K27" s="1" t="s">
        <v>3382</v>
      </c>
      <c r="L27" s="1">
        <v>9</v>
      </c>
      <c r="M27" s="1" t="s">
        <v>3439</v>
      </c>
      <c r="N27" s="175"/>
      <c r="O27" s="175"/>
      <c r="P27" s="175"/>
    </row>
    <row r="28" spans="1:16">
      <c r="A28" s="154"/>
      <c r="B28" s="1" t="s">
        <v>3434</v>
      </c>
      <c r="C28" s="1" t="s">
        <v>3393</v>
      </c>
      <c r="D28" s="1">
        <v>2</v>
      </c>
      <c r="E28" s="1" t="s">
        <v>3389</v>
      </c>
      <c r="F28" s="1">
        <v>8</v>
      </c>
      <c r="G28" s="1" t="s">
        <v>3385</v>
      </c>
      <c r="H28" s="1">
        <v>3</v>
      </c>
      <c r="I28" s="1" t="s">
        <v>3386</v>
      </c>
      <c r="J28" s="1">
        <v>12</v>
      </c>
      <c r="K28" s="1" t="s">
        <v>3390</v>
      </c>
      <c r="L28" s="1">
        <v>7</v>
      </c>
      <c r="M28" s="1" t="s">
        <v>3437</v>
      </c>
      <c r="N28" s="175"/>
      <c r="O28" s="175"/>
      <c r="P28" s="175"/>
    </row>
    <row r="29" spans="1:16">
      <c r="A29" s="154"/>
      <c r="B29" s="1" t="s">
        <v>3435</v>
      </c>
      <c r="C29" s="1" t="s">
        <v>3394</v>
      </c>
      <c r="D29" s="1">
        <v>2</v>
      </c>
      <c r="E29" s="1" t="s">
        <v>3389</v>
      </c>
      <c r="F29" s="1">
        <v>8</v>
      </c>
      <c r="G29" s="1" t="s">
        <v>3380</v>
      </c>
      <c r="H29" s="1">
        <v>5</v>
      </c>
      <c r="I29" s="1" t="s">
        <v>3381</v>
      </c>
      <c r="J29" s="1">
        <v>10</v>
      </c>
      <c r="K29" s="1" t="s">
        <v>3390</v>
      </c>
      <c r="L29" s="1">
        <v>7</v>
      </c>
      <c r="M29" s="1" t="s">
        <v>3438</v>
      </c>
      <c r="N29" s="175"/>
      <c r="O29" s="175"/>
      <c r="P29" s="175"/>
    </row>
    <row r="31" spans="1:16">
      <c r="A31" s="154" t="s">
        <v>3433</v>
      </c>
      <c r="B31" s="1" t="s">
        <v>3443</v>
      </c>
      <c r="C31" s="1" t="s">
        <v>3388</v>
      </c>
      <c r="D31" s="1">
        <v>4</v>
      </c>
      <c r="E31" s="1" t="s">
        <v>3395</v>
      </c>
      <c r="F31" s="1">
        <v>14</v>
      </c>
      <c r="G31" s="1" t="s">
        <v>3396</v>
      </c>
      <c r="H31" s="1">
        <v>5</v>
      </c>
      <c r="I31" s="1" t="s">
        <v>3397</v>
      </c>
      <c r="J31" s="1">
        <v>20</v>
      </c>
      <c r="K31" s="1" t="s">
        <v>3398</v>
      </c>
      <c r="L31" s="1">
        <v>1</v>
      </c>
      <c r="M31" s="1" t="s">
        <v>3440</v>
      </c>
      <c r="N31" s="175" t="s">
        <v>3470</v>
      </c>
      <c r="O31" s="175" t="s">
        <v>3471</v>
      </c>
      <c r="P31" s="175" t="s">
        <v>3472</v>
      </c>
    </row>
    <row r="32" spans="1:16">
      <c r="A32" s="154"/>
      <c r="B32" s="1" t="s">
        <v>3444</v>
      </c>
      <c r="C32" s="1" t="s">
        <v>3388</v>
      </c>
      <c r="D32" s="1">
        <v>4</v>
      </c>
      <c r="E32" s="1" t="s">
        <v>3395</v>
      </c>
      <c r="F32" s="1">
        <v>14</v>
      </c>
      <c r="G32" s="1" t="s">
        <v>3396</v>
      </c>
      <c r="H32" s="1">
        <v>5</v>
      </c>
      <c r="I32" s="1" t="s">
        <v>3397</v>
      </c>
      <c r="J32" s="1">
        <v>20</v>
      </c>
      <c r="K32" s="1" t="s">
        <v>3398</v>
      </c>
      <c r="L32" s="1">
        <v>1</v>
      </c>
      <c r="M32" s="1" t="s">
        <v>3440</v>
      </c>
      <c r="N32" s="175"/>
      <c r="O32" s="175"/>
      <c r="P32" s="175"/>
    </row>
    <row r="33" spans="1:16">
      <c r="A33" s="154"/>
      <c r="B33" s="1" t="s">
        <v>3445</v>
      </c>
      <c r="C33" s="1" t="s">
        <v>3388</v>
      </c>
      <c r="D33" s="1">
        <v>4</v>
      </c>
      <c r="E33" s="1" t="s">
        <v>3395</v>
      </c>
      <c r="F33" s="1">
        <v>14</v>
      </c>
      <c r="G33" s="1" t="s">
        <v>3396</v>
      </c>
      <c r="H33" s="1">
        <v>5</v>
      </c>
      <c r="I33" s="1" t="s">
        <v>3397</v>
      </c>
      <c r="J33" s="1">
        <v>20</v>
      </c>
      <c r="K33" s="1" t="s">
        <v>3398</v>
      </c>
      <c r="L33" s="1">
        <v>1</v>
      </c>
      <c r="M33" s="1" t="s">
        <v>3440</v>
      </c>
      <c r="N33" s="175"/>
      <c r="O33" s="175"/>
      <c r="P33" s="175"/>
    </row>
    <row r="34" spans="1:16">
      <c r="A34" s="154"/>
      <c r="B34" s="1" t="s">
        <v>3446</v>
      </c>
      <c r="C34" s="1" t="s">
        <v>3394</v>
      </c>
      <c r="D34" s="1">
        <v>4</v>
      </c>
      <c r="E34" s="1" t="s">
        <v>3395</v>
      </c>
      <c r="F34" s="1">
        <v>14</v>
      </c>
      <c r="G34" s="1" t="s">
        <v>3399</v>
      </c>
      <c r="H34" s="1">
        <v>7</v>
      </c>
      <c r="I34" s="1" t="s">
        <v>3400</v>
      </c>
      <c r="J34" s="1">
        <v>16</v>
      </c>
      <c r="K34" s="1" t="s">
        <v>3401</v>
      </c>
      <c r="L34" s="1">
        <v>1</v>
      </c>
      <c r="M34" s="1" t="s">
        <v>3441</v>
      </c>
      <c r="N34" s="175"/>
      <c r="O34" s="175"/>
      <c r="P34" s="175"/>
    </row>
    <row r="35" spans="1:16">
      <c r="A35" s="154"/>
      <c r="B35" s="1" t="s">
        <v>3447</v>
      </c>
      <c r="C35" s="2" t="s">
        <v>3394</v>
      </c>
      <c r="D35" s="2">
        <v>4</v>
      </c>
      <c r="E35" s="2" t="s">
        <v>3395</v>
      </c>
      <c r="F35" s="2">
        <v>14</v>
      </c>
      <c r="G35" s="2" t="s">
        <v>3399</v>
      </c>
      <c r="H35" s="2">
        <v>7</v>
      </c>
      <c r="I35" s="2" t="s">
        <v>3400</v>
      </c>
      <c r="J35" s="2">
        <v>16</v>
      </c>
      <c r="K35" s="2" t="s">
        <v>3401</v>
      </c>
      <c r="L35" s="2">
        <v>1</v>
      </c>
      <c r="M35" s="2" t="s">
        <v>3441</v>
      </c>
      <c r="N35" s="175"/>
      <c r="O35" s="175"/>
      <c r="P35" s="175"/>
    </row>
    <row r="36" spans="1:16">
      <c r="A36" s="154"/>
      <c r="B36" s="1" t="s">
        <v>3448</v>
      </c>
      <c r="C36" s="1" t="s">
        <v>3394</v>
      </c>
      <c r="D36" s="1">
        <v>4</v>
      </c>
      <c r="E36" s="1" t="s">
        <v>3395</v>
      </c>
      <c r="F36" s="1">
        <v>14</v>
      </c>
      <c r="G36" s="1" t="s">
        <v>3399</v>
      </c>
      <c r="H36" s="1">
        <v>7</v>
      </c>
      <c r="I36" s="1" t="s">
        <v>3400</v>
      </c>
      <c r="J36" s="1">
        <v>16</v>
      </c>
      <c r="K36" s="1" t="s">
        <v>3401</v>
      </c>
      <c r="L36" s="1">
        <v>1</v>
      </c>
      <c r="M36" s="1" t="s">
        <v>3441</v>
      </c>
      <c r="N36" s="175"/>
      <c r="O36" s="175"/>
      <c r="P36" s="175"/>
    </row>
    <row r="37" spans="1:16">
      <c r="A37" s="154"/>
      <c r="B37" s="1" t="s">
        <v>3449</v>
      </c>
      <c r="C37" s="1" t="s">
        <v>3384</v>
      </c>
      <c r="D37" s="1">
        <v>4</v>
      </c>
      <c r="E37" s="1" t="s">
        <v>3395</v>
      </c>
      <c r="F37" s="1">
        <v>14</v>
      </c>
      <c r="G37" s="1" t="s">
        <v>3385</v>
      </c>
      <c r="H37" s="1">
        <v>10</v>
      </c>
      <c r="I37" s="1" t="s">
        <v>3402</v>
      </c>
      <c r="J37" s="1">
        <v>14</v>
      </c>
      <c r="K37" s="1" t="s">
        <v>3403</v>
      </c>
      <c r="L37" s="1">
        <v>1</v>
      </c>
      <c r="M37" s="1" t="s">
        <v>3442</v>
      </c>
      <c r="N37" s="175"/>
      <c r="O37" s="175"/>
      <c r="P37" s="175"/>
    </row>
    <row r="38" spans="1:16">
      <c r="A38" s="154"/>
      <c r="B38" s="1" t="s">
        <v>3450</v>
      </c>
      <c r="C38" s="1" t="s">
        <v>3384</v>
      </c>
      <c r="D38" s="1">
        <v>4</v>
      </c>
      <c r="E38" s="1" t="s">
        <v>3395</v>
      </c>
      <c r="F38" s="1">
        <v>14</v>
      </c>
      <c r="G38" s="1" t="s">
        <v>3385</v>
      </c>
      <c r="H38" s="1">
        <v>10</v>
      </c>
      <c r="I38" s="1" t="s">
        <v>3402</v>
      </c>
      <c r="J38" s="1">
        <v>14</v>
      </c>
      <c r="K38" s="1" t="s">
        <v>3403</v>
      </c>
      <c r="L38" s="1">
        <v>1</v>
      </c>
      <c r="M38" s="1" t="s">
        <v>3442</v>
      </c>
      <c r="N38" s="175"/>
      <c r="O38" s="175"/>
      <c r="P38" s="175"/>
    </row>
    <row r="39" spans="1:16">
      <c r="A39" s="154"/>
      <c r="B39" s="1" t="s">
        <v>3451</v>
      </c>
      <c r="C39" s="1" t="s">
        <v>3384</v>
      </c>
      <c r="D39" s="1">
        <v>4</v>
      </c>
      <c r="E39" s="1" t="s">
        <v>3395</v>
      </c>
      <c r="F39" s="1">
        <v>14</v>
      </c>
      <c r="G39" s="1" t="s">
        <v>3385</v>
      </c>
      <c r="H39" s="1">
        <v>10</v>
      </c>
      <c r="I39" s="1" t="s">
        <v>3402</v>
      </c>
      <c r="J39" s="1">
        <v>14</v>
      </c>
      <c r="K39" s="1" t="s">
        <v>3403</v>
      </c>
      <c r="L39" s="1">
        <v>1</v>
      </c>
      <c r="M39" s="1" t="s">
        <v>3442</v>
      </c>
      <c r="N39" s="175"/>
      <c r="O39" s="175"/>
      <c r="P39" s="175"/>
    </row>
  </sheetData>
  <mergeCells count="22">
    <mergeCell ref="A31:A39"/>
    <mergeCell ref="N24:N29"/>
    <mergeCell ref="O24:O29"/>
    <mergeCell ref="A3:A8"/>
    <mergeCell ref="A10:A15"/>
    <mergeCell ref="A17:A22"/>
    <mergeCell ref="A24:A29"/>
    <mergeCell ref="P17:P22"/>
    <mergeCell ref="N3:N8"/>
    <mergeCell ref="P31:P39"/>
    <mergeCell ref="N31:N39"/>
    <mergeCell ref="O31:O39"/>
    <mergeCell ref="O3:O8"/>
    <mergeCell ref="P3:P8"/>
    <mergeCell ref="P24:P29"/>
    <mergeCell ref="N17:N22"/>
    <mergeCell ref="O17:O22"/>
    <mergeCell ref="A1:P1"/>
    <mergeCell ref="O10:O15"/>
    <mergeCell ref="N10:N15"/>
    <mergeCell ref="P10:P15"/>
    <mergeCell ref="C2:L2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111"/>
  <sheetViews>
    <sheetView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I91" sqref="I91"/>
    </sheetView>
  </sheetViews>
  <sheetFormatPr defaultRowHeight="14.25"/>
  <cols>
    <col min="1" max="1" width="5.125" style="38" customWidth="1"/>
    <col min="2" max="2" width="11.375" style="38" bestFit="1" customWidth="1"/>
    <col min="3" max="3" width="9.5" style="38" customWidth="1"/>
    <col min="4" max="4" width="15.125" style="38" bestFit="1" customWidth="1"/>
    <col min="5" max="5" width="15.625" style="38" customWidth="1"/>
    <col min="6" max="6" width="3.625" style="38" customWidth="1"/>
    <col min="7" max="7" width="5.125" style="38" customWidth="1"/>
    <col min="8" max="8" width="11.375" style="38" bestFit="1" customWidth="1"/>
    <col min="9" max="9" width="9.5" style="38" bestFit="1" customWidth="1"/>
    <col min="10" max="10" width="15.125" style="38" customWidth="1"/>
    <col min="11" max="11" width="15.625" style="38" customWidth="1"/>
    <col min="12" max="16384" width="9" style="38"/>
  </cols>
  <sheetData>
    <row r="1" spans="1:11" ht="33">
      <c r="A1" s="153" t="s">
        <v>3267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>
      <c r="A2" s="12" t="s">
        <v>1036</v>
      </c>
      <c r="B2" s="12" t="s">
        <v>1034</v>
      </c>
      <c r="C2" s="12" t="s">
        <v>1606</v>
      </c>
      <c r="D2" s="12" t="s">
        <v>1035</v>
      </c>
      <c r="E2" s="12" t="s">
        <v>3266</v>
      </c>
      <c r="G2" s="12" t="s">
        <v>1036</v>
      </c>
      <c r="H2" s="12" t="s">
        <v>1034</v>
      </c>
      <c r="I2" s="12" t="s">
        <v>1606</v>
      </c>
      <c r="J2" s="12" t="s">
        <v>1035</v>
      </c>
      <c r="K2" s="12" t="s">
        <v>3266</v>
      </c>
    </row>
    <row r="3" spans="1:11">
      <c r="A3" s="132" t="s">
        <v>3252</v>
      </c>
      <c r="B3" s="139" t="s">
        <v>1032</v>
      </c>
      <c r="C3" s="139" t="s">
        <v>1033</v>
      </c>
      <c r="D3" s="2" t="s">
        <v>1025</v>
      </c>
      <c r="E3" s="177" t="s">
        <v>3262</v>
      </c>
      <c r="G3" s="132" t="s">
        <v>965</v>
      </c>
      <c r="H3" s="139" t="s">
        <v>845</v>
      </c>
      <c r="I3" s="139" t="s">
        <v>1024</v>
      </c>
      <c r="J3" s="2" t="s">
        <v>1022</v>
      </c>
      <c r="K3" s="177" t="s">
        <v>1065</v>
      </c>
    </row>
    <row r="4" spans="1:11">
      <c r="A4" s="132"/>
      <c r="B4" s="139"/>
      <c r="C4" s="139"/>
      <c r="D4" s="2" t="s">
        <v>1031</v>
      </c>
      <c r="E4" s="178"/>
      <c r="G4" s="132"/>
      <c r="H4" s="139"/>
      <c r="I4" s="139"/>
      <c r="J4" s="2" t="s">
        <v>153</v>
      </c>
      <c r="K4" s="178"/>
    </row>
    <row r="5" spans="1:11">
      <c r="A5" s="132"/>
      <c r="B5" s="139" t="s">
        <v>638</v>
      </c>
      <c r="C5" s="139">
        <v>17</v>
      </c>
      <c r="D5" s="2" t="s">
        <v>105</v>
      </c>
      <c r="E5" s="178"/>
      <c r="G5" s="132"/>
      <c r="H5" s="139"/>
      <c r="I5" s="139"/>
      <c r="J5" s="2" t="s">
        <v>138</v>
      </c>
      <c r="K5" s="178"/>
    </row>
    <row r="6" spans="1:11">
      <c r="A6" s="132"/>
      <c r="B6" s="139"/>
      <c r="C6" s="139"/>
      <c r="D6" s="2" t="s">
        <v>104</v>
      </c>
      <c r="E6" s="178"/>
      <c r="G6" s="132"/>
      <c r="H6" s="139"/>
      <c r="I6" s="139"/>
      <c r="J6" s="2" t="s">
        <v>1023</v>
      </c>
      <c r="K6" s="178"/>
    </row>
    <row r="7" spans="1:11">
      <c r="A7" s="132"/>
      <c r="B7" s="139" t="s">
        <v>639</v>
      </c>
      <c r="C7" s="139">
        <v>17</v>
      </c>
      <c r="D7" s="2" t="s">
        <v>105</v>
      </c>
      <c r="E7" s="178"/>
      <c r="G7" s="132"/>
      <c r="H7" s="2" t="s">
        <v>847</v>
      </c>
      <c r="I7" s="2">
        <v>5</v>
      </c>
      <c r="J7" s="2" t="s">
        <v>167</v>
      </c>
      <c r="K7" s="178"/>
    </row>
    <row r="8" spans="1:11">
      <c r="A8" s="132"/>
      <c r="B8" s="139"/>
      <c r="C8" s="139"/>
      <c r="D8" s="2" t="s">
        <v>104</v>
      </c>
      <c r="E8" s="178"/>
      <c r="G8" s="132"/>
      <c r="H8" s="139" t="s">
        <v>899</v>
      </c>
      <c r="I8" s="139">
        <v>13</v>
      </c>
      <c r="J8" s="2" t="s">
        <v>900</v>
      </c>
      <c r="K8" s="178"/>
    </row>
    <row r="9" spans="1:11">
      <c r="A9" s="132"/>
      <c r="B9" s="2" t="s">
        <v>640</v>
      </c>
      <c r="C9" s="2">
        <v>15</v>
      </c>
      <c r="D9" s="2" t="s">
        <v>641</v>
      </c>
      <c r="E9" s="178"/>
      <c r="G9" s="132"/>
      <c r="H9" s="139"/>
      <c r="I9" s="139"/>
      <c r="J9" s="2" t="s">
        <v>105</v>
      </c>
      <c r="K9" s="178"/>
    </row>
    <row r="10" spans="1:11">
      <c r="A10" s="132"/>
      <c r="B10" s="2" t="s">
        <v>642</v>
      </c>
      <c r="C10" s="2">
        <v>17</v>
      </c>
      <c r="D10" s="2" t="s">
        <v>3253</v>
      </c>
      <c r="E10" s="178"/>
      <c r="G10" s="132"/>
      <c r="H10" s="139" t="s">
        <v>643</v>
      </c>
      <c r="I10" s="139">
        <v>18</v>
      </c>
      <c r="J10" s="2" t="s">
        <v>262</v>
      </c>
      <c r="K10" s="178"/>
    </row>
    <row r="11" spans="1:11">
      <c r="A11" s="132"/>
      <c r="B11" s="2" t="s">
        <v>643</v>
      </c>
      <c r="C11" s="2">
        <v>17</v>
      </c>
      <c r="D11" s="2" t="s">
        <v>254</v>
      </c>
      <c r="E11" s="178"/>
      <c r="G11" s="132"/>
      <c r="H11" s="139"/>
      <c r="I11" s="139"/>
      <c r="J11" s="2" t="s">
        <v>254</v>
      </c>
      <c r="K11" s="178"/>
    </row>
    <row r="12" spans="1:11">
      <c r="A12" s="132"/>
      <c r="B12" s="2" t="s">
        <v>644</v>
      </c>
      <c r="C12" s="2">
        <v>17</v>
      </c>
      <c r="D12" s="2" t="s">
        <v>254</v>
      </c>
      <c r="E12" s="179"/>
      <c r="G12" s="132"/>
      <c r="H12" s="139" t="s">
        <v>901</v>
      </c>
      <c r="I12" s="139">
        <v>23</v>
      </c>
      <c r="J12" s="2" t="s">
        <v>127</v>
      </c>
      <c r="K12" s="178"/>
    </row>
    <row r="13" spans="1:11">
      <c r="G13" s="132"/>
      <c r="H13" s="139"/>
      <c r="I13" s="139"/>
      <c r="J13" s="2" t="s">
        <v>3256</v>
      </c>
      <c r="K13" s="178"/>
    </row>
    <row r="14" spans="1:11">
      <c r="A14" s="132" t="s">
        <v>3254</v>
      </c>
      <c r="B14" s="2" t="s">
        <v>645</v>
      </c>
      <c r="C14" s="2">
        <v>25</v>
      </c>
      <c r="D14" s="2" t="s">
        <v>203</v>
      </c>
      <c r="E14" s="177" t="s">
        <v>1038</v>
      </c>
      <c r="G14" s="132"/>
      <c r="H14" s="2" t="s">
        <v>902</v>
      </c>
      <c r="I14" s="2">
        <v>50</v>
      </c>
      <c r="J14" s="2" t="s">
        <v>3823</v>
      </c>
      <c r="K14" s="178"/>
    </row>
    <row r="15" spans="1:11">
      <c r="A15" s="132"/>
      <c r="B15" s="139" t="s">
        <v>646</v>
      </c>
      <c r="C15" s="139">
        <v>25</v>
      </c>
      <c r="D15" s="2" t="s">
        <v>127</v>
      </c>
      <c r="E15" s="178"/>
      <c r="G15" s="132"/>
      <c r="H15" s="2" t="s">
        <v>662</v>
      </c>
      <c r="I15" s="2">
        <v>45</v>
      </c>
      <c r="J15" s="2" t="s">
        <v>4011</v>
      </c>
      <c r="K15" s="178"/>
    </row>
    <row r="16" spans="1:11">
      <c r="A16" s="132"/>
      <c r="B16" s="139"/>
      <c r="C16" s="139"/>
      <c r="D16" s="2" t="s">
        <v>3255</v>
      </c>
      <c r="E16" s="178"/>
      <c r="G16" s="132"/>
      <c r="H16" s="2" t="s">
        <v>903</v>
      </c>
      <c r="I16" s="2">
        <v>3</v>
      </c>
      <c r="J16" s="2" t="s">
        <v>846</v>
      </c>
      <c r="K16" s="178"/>
    </row>
    <row r="17" spans="1:11">
      <c r="A17" s="132"/>
      <c r="B17" s="139" t="s">
        <v>647</v>
      </c>
      <c r="C17" s="139">
        <v>25</v>
      </c>
      <c r="D17" s="2" t="s">
        <v>3255</v>
      </c>
      <c r="E17" s="178"/>
      <c r="G17" s="132"/>
      <c r="H17" s="2" t="s">
        <v>904</v>
      </c>
      <c r="I17" s="2">
        <v>7</v>
      </c>
      <c r="J17" s="2" t="s">
        <v>188</v>
      </c>
      <c r="K17" s="178"/>
    </row>
    <row r="18" spans="1:11">
      <c r="A18" s="132"/>
      <c r="B18" s="139"/>
      <c r="C18" s="139"/>
      <c r="D18" s="2" t="s">
        <v>3256</v>
      </c>
      <c r="E18" s="178"/>
      <c r="G18" s="132"/>
      <c r="H18" s="2" t="s">
        <v>905</v>
      </c>
      <c r="I18" s="2">
        <v>15</v>
      </c>
      <c r="J18" s="2" t="s">
        <v>262</v>
      </c>
      <c r="K18" s="178"/>
    </row>
    <row r="19" spans="1:11">
      <c r="A19" s="132"/>
      <c r="B19" s="139" t="s">
        <v>648</v>
      </c>
      <c r="C19" s="139">
        <v>25</v>
      </c>
      <c r="D19" s="2" t="s">
        <v>127</v>
      </c>
      <c r="E19" s="178"/>
      <c r="G19" s="132"/>
      <c r="H19" s="2" t="s">
        <v>906</v>
      </c>
      <c r="I19" s="2">
        <v>23</v>
      </c>
      <c r="J19" s="2" t="s">
        <v>203</v>
      </c>
      <c r="K19" s="178"/>
    </row>
    <row r="20" spans="1:11">
      <c r="A20" s="132"/>
      <c r="B20" s="139"/>
      <c r="C20" s="139"/>
      <c r="D20" s="2" t="s">
        <v>649</v>
      </c>
      <c r="E20" s="178"/>
      <c r="G20" s="132"/>
      <c r="H20" s="2" t="s">
        <v>652</v>
      </c>
      <c r="I20" s="2">
        <v>25</v>
      </c>
      <c r="J20" s="2" t="s">
        <v>3826</v>
      </c>
      <c r="K20" s="178"/>
    </row>
    <row r="21" spans="1:11">
      <c r="A21" s="132"/>
      <c r="B21" s="2" t="s">
        <v>650</v>
      </c>
      <c r="C21" s="2">
        <v>25</v>
      </c>
      <c r="D21" s="2" t="s">
        <v>203</v>
      </c>
      <c r="E21" s="178"/>
      <c r="G21" s="132"/>
      <c r="H21" s="2" t="s">
        <v>907</v>
      </c>
      <c r="I21" s="2">
        <v>30</v>
      </c>
      <c r="J21" s="2" t="s">
        <v>127</v>
      </c>
      <c r="K21" s="178"/>
    </row>
    <row r="22" spans="1:11">
      <c r="A22" s="132"/>
      <c r="B22" s="2" t="s">
        <v>651</v>
      </c>
      <c r="C22" s="2">
        <v>23</v>
      </c>
      <c r="D22" s="2" t="s">
        <v>3826</v>
      </c>
      <c r="E22" s="178"/>
      <c r="G22" s="132"/>
      <c r="H22" s="2" t="s">
        <v>659</v>
      </c>
      <c r="I22" s="2">
        <v>45</v>
      </c>
      <c r="J22" s="2" t="s">
        <v>4011</v>
      </c>
      <c r="K22" s="178"/>
    </row>
    <row r="23" spans="1:11">
      <c r="A23" s="132"/>
      <c r="B23" s="139" t="s">
        <v>3257</v>
      </c>
      <c r="C23" s="139">
        <v>23</v>
      </c>
      <c r="D23" s="2" t="s">
        <v>3258</v>
      </c>
      <c r="E23" s="178"/>
      <c r="G23" s="132"/>
      <c r="H23" s="2" t="s">
        <v>908</v>
      </c>
      <c r="I23" s="2">
        <v>3</v>
      </c>
      <c r="J23" s="2" t="s">
        <v>846</v>
      </c>
      <c r="K23" s="178"/>
    </row>
    <row r="24" spans="1:11">
      <c r="A24" s="132"/>
      <c r="B24" s="139"/>
      <c r="C24" s="139"/>
      <c r="D24" s="2" t="s">
        <v>3259</v>
      </c>
      <c r="E24" s="179"/>
      <c r="G24" s="132"/>
      <c r="H24" s="2" t="s">
        <v>909</v>
      </c>
      <c r="I24" s="2">
        <v>10</v>
      </c>
      <c r="J24" s="2" t="s">
        <v>154</v>
      </c>
      <c r="K24" s="178"/>
    </row>
    <row r="25" spans="1:11">
      <c r="G25" s="132"/>
      <c r="H25" s="139" t="s">
        <v>910</v>
      </c>
      <c r="I25" s="139">
        <v>15</v>
      </c>
      <c r="J25" s="2" t="s">
        <v>825</v>
      </c>
      <c r="K25" s="178"/>
    </row>
    <row r="26" spans="1:11">
      <c r="A26" s="132" t="s">
        <v>957</v>
      </c>
      <c r="B26" s="139" t="s">
        <v>653</v>
      </c>
      <c r="C26" s="139">
        <v>37</v>
      </c>
      <c r="D26" s="2" t="s">
        <v>3892</v>
      </c>
      <c r="E26" s="177" t="s">
        <v>3264</v>
      </c>
      <c r="G26" s="132"/>
      <c r="H26" s="139"/>
      <c r="I26" s="139"/>
      <c r="J26" s="2" t="s">
        <v>3260</v>
      </c>
      <c r="K26" s="178"/>
    </row>
    <row r="27" spans="1:11">
      <c r="A27" s="132"/>
      <c r="B27" s="139"/>
      <c r="C27" s="139"/>
      <c r="D27" s="2" t="s">
        <v>3866</v>
      </c>
      <c r="E27" s="178"/>
      <c r="G27" s="132"/>
      <c r="H27" s="139" t="s">
        <v>639</v>
      </c>
      <c r="I27" s="139">
        <v>18</v>
      </c>
      <c r="J27" s="2" t="s">
        <v>104</v>
      </c>
      <c r="K27" s="178"/>
    </row>
    <row r="28" spans="1:11">
      <c r="A28" s="132"/>
      <c r="B28" s="139"/>
      <c r="C28" s="139"/>
      <c r="D28" s="2" t="s">
        <v>131</v>
      </c>
      <c r="E28" s="178"/>
      <c r="G28" s="132"/>
      <c r="H28" s="139"/>
      <c r="I28" s="139"/>
      <c r="J28" s="2" t="s">
        <v>105</v>
      </c>
      <c r="K28" s="178"/>
    </row>
    <row r="29" spans="1:11">
      <c r="A29" s="132"/>
      <c r="B29" s="2" t="s">
        <v>654</v>
      </c>
      <c r="C29" s="2">
        <v>37</v>
      </c>
      <c r="D29" s="2" t="s">
        <v>131</v>
      </c>
      <c r="E29" s="178"/>
      <c r="G29" s="132"/>
      <c r="H29" s="139"/>
      <c r="I29" s="139"/>
      <c r="J29" s="2" t="s">
        <v>1025</v>
      </c>
      <c r="K29" s="178"/>
    </row>
    <row r="30" spans="1:11">
      <c r="A30" s="132"/>
      <c r="B30" s="139" t="s">
        <v>655</v>
      </c>
      <c r="C30" s="139">
        <v>37</v>
      </c>
      <c r="D30" s="2" t="s">
        <v>3892</v>
      </c>
      <c r="E30" s="178"/>
      <c r="G30" s="132"/>
      <c r="H30" s="2" t="s">
        <v>911</v>
      </c>
      <c r="I30" s="2">
        <v>50</v>
      </c>
      <c r="J30" s="2" t="s">
        <v>3823</v>
      </c>
      <c r="K30" s="178"/>
    </row>
    <row r="31" spans="1:11">
      <c r="A31" s="132"/>
      <c r="B31" s="139"/>
      <c r="C31" s="139"/>
      <c r="D31" s="2" t="s">
        <v>214</v>
      </c>
      <c r="E31" s="178"/>
      <c r="G31" s="132"/>
      <c r="H31" s="2" t="s">
        <v>912</v>
      </c>
      <c r="I31" s="2">
        <v>55</v>
      </c>
      <c r="J31" s="2" t="s">
        <v>4026</v>
      </c>
      <c r="K31" s="178"/>
    </row>
    <row r="32" spans="1:11">
      <c r="A32" s="132"/>
      <c r="B32" s="139" t="s">
        <v>656</v>
      </c>
      <c r="C32" s="139">
        <v>37</v>
      </c>
      <c r="D32" s="2" t="s">
        <v>3989</v>
      </c>
      <c r="E32" s="178"/>
      <c r="G32" s="132"/>
      <c r="H32" s="2" t="s">
        <v>913</v>
      </c>
      <c r="I32" s="2">
        <v>65</v>
      </c>
      <c r="J32" s="2" t="s">
        <v>964</v>
      </c>
      <c r="K32" s="178"/>
    </row>
    <row r="33" spans="1:11">
      <c r="A33" s="132"/>
      <c r="B33" s="139"/>
      <c r="C33" s="139"/>
      <c r="D33" s="2" t="s">
        <v>106</v>
      </c>
      <c r="E33" s="178"/>
      <c r="G33" s="132"/>
      <c r="H33" s="139" t="s">
        <v>914</v>
      </c>
      <c r="I33" s="139">
        <v>5</v>
      </c>
      <c r="J33" s="2" t="s">
        <v>154</v>
      </c>
      <c r="K33" s="178"/>
    </row>
    <row r="34" spans="1:11">
      <c r="A34" s="132"/>
      <c r="B34" s="2" t="s">
        <v>657</v>
      </c>
      <c r="C34" s="2">
        <v>39</v>
      </c>
      <c r="D34" s="2" t="s">
        <v>3892</v>
      </c>
      <c r="E34" s="178"/>
      <c r="G34" s="132"/>
      <c r="H34" s="139"/>
      <c r="I34" s="139"/>
      <c r="J34" s="2" t="s">
        <v>915</v>
      </c>
      <c r="K34" s="178"/>
    </row>
    <row r="35" spans="1:11">
      <c r="A35" s="132"/>
      <c r="B35" s="2" t="s">
        <v>658</v>
      </c>
      <c r="C35" s="2">
        <v>43</v>
      </c>
      <c r="D35" s="2" t="s">
        <v>4011</v>
      </c>
      <c r="E35" s="178"/>
      <c r="G35" s="132"/>
      <c r="H35" s="139"/>
      <c r="I35" s="139"/>
      <c r="J35" s="2" t="s">
        <v>916</v>
      </c>
      <c r="K35" s="178"/>
    </row>
    <row r="36" spans="1:11">
      <c r="A36" s="132"/>
      <c r="B36" s="2" t="s">
        <v>659</v>
      </c>
      <c r="C36" s="2">
        <v>43</v>
      </c>
      <c r="D36" s="2" t="s">
        <v>4011</v>
      </c>
      <c r="E36" s="178"/>
      <c r="G36" s="132"/>
      <c r="H36" s="139" t="s">
        <v>917</v>
      </c>
      <c r="I36" s="139">
        <v>7</v>
      </c>
      <c r="J36" s="2" t="s">
        <v>188</v>
      </c>
      <c r="K36" s="178"/>
    </row>
    <row r="37" spans="1:11">
      <c r="A37" s="132"/>
      <c r="B37" s="2" t="s">
        <v>660</v>
      </c>
      <c r="C37" s="2">
        <v>43</v>
      </c>
      <c r="D37" s="2" t="s">
        <v>4011</v>
      </c>
      <c r="E37" s="178"/>
      <c r="G37" s="132"/>
      <c r="H37" s="139"/>
      <c r="I37" s="139"/>
      <c r="J37" s="2" t="s">
        <v>915</v>
      </c>
      <c r="K37" s="178"/>
    </row>
    <row r="38" spans="1:11">
      <c r="A38" s="132"/>
      <c r="B38" s="2" t="s">
        <v>661</v>
      </c>
      <c r="C38" s="2">
        <v>43</v>
      </c>
      <c r="D38" s="2" t="s">
        <v>4011</v>
      </c>
      <c r="E38" s="178"/>
      <c r="G38" s="132"/>
      <c r="H38" s="139"/>
      <c r="I38" s="139"/>
      <c r="J38" s="2" t="s">
        <v>916</v>
      </c>
      <c r="K38" s="178"/>
    </row>
    <row r="39" spans="1:11">
      <c r="A39" s="132"/>
      <c r="B39" s="2" t="s">
        <v>662</v>
      </c>
      <c r="C39" s="2">
        <v>43</v>
      </c>
      <c r="D39" s="2" t="s">
        <v>4011</v>
      </c>
      <c r="E39" s="178"/>
      <c r="G39" s="132"/>
      <c r="H39" s="139" t="s">
        <v>918</v>
      </c>
      <c r="I39" s="139">
        <v>10</v>
      </c>
      <c r="J39" s="2" t="s">
        <v>167</v>
      </c>
      <c r="K39" s="178"/>
    </row>
    <row r="40" spans="1:11">
      <c r="A40" s="132"/>
      <c r="B40" s="2" t="s">
        <v>663</v>
      </c>
      <c r="C40" s="2">
        <v>43</v>
      </c>
      <c r="D40" s="2" t="s">
        <v>4011</v>
      </c>
      <c r="E40" s="178"/>
      <c r="G40" s="132"/>
      <c r="H40" s="139"/>
      <c r="I40" s="139"/>
      <c r="J40" s="2" t="s">
        <v>916</v>
      </c>
      <c r="K40" s="178"/>
    </row>
    <row r="41" spans="1:11">
      <c r="A41" s="132"/>
      <c r="B41" s="2" t="s">
        <v>664</v>
      </c>
      <c r="C41" s="2">
        <v>43</v>
      </c>
      <c r="D41" s="2" t="s">
        <v>4011</v>
      </c>
      <c r="E41" s="178"/>
      <c r="G41" s="132"/>
      <c r="H41" s="139" t="s">
        <v>919</v>
      </c>
      <c r="I41" s="139">
        <v>13</v>
      </c>
      <c r="J41" s="2" t="s">
        <v>900</v>
      </c>
      <c r="K41" s="178"/>
    </row>
    <row r="42" spans="1:11">
      <c r="A42" s="132"/>
      <c r="B42" s="2" t="s">
        <v>665</v>
      </c>
      <c r="C42" s="2">
        <v>38</v>
      </c>
      <c r="D42" s="2" t="s">
        <v>963</v>
      </c>
      <c r="E42" s="178"/>
      <c r="G42" s="132"/>
      <c r="H42" s="139"/>
      <c r="I42" s="139"/>
      <c r="J42" s="2" t="s">
        <v>105</v>
      </c>
      <c r="K42" s="178"/>
    </row>
    <row r="43" spans="1:11">
      <c r="A43" s="132"/>
      <c r="B43" s="2" t="s">
        <v>666</v>
      </c>
      <c r="C43" s="2">
        <v>38</v>
      </c>
      <c r="D43" s="2" t="s">
        <v>963</v>
      </c>
      <c r="E43" s="179"/>
      <c r="G43" s="132"/>
      <c r="H43" s="2" t="s">
        <v>920</v>
      </c>
      <c r="I43" s="2">
        <v>20</v>
      </c>
      <c r="J43" s="2" t="s">
        <v>125</v>
      </c>
      <c r="K43" s="178"/>
    </row>
    <row r="44" spans="1:11">
      <c r="G44" s="132"/>
      <c r="H44" s="2" t="s">
        <v>921</v>
      </c>
      <c r="I44" s="2">
        <v>33</v>
      </c>
      <c r="J44" s="2" t="s">
        <v>3999</v>
      </c>
      <c r="K44" s="178"/>
    </row>
    <row r="45" spans="1:11">
      <c r="A45" s="132" t="s">
        <v>1029</v>
      </c>
      <c r="B45" s="139" t="s">
        <v>667</v>
      </c>
      <c r="C45" s="139">
        <v>13</v>
      </c>
      <c r="D45" s="2" t="s">
        <v>668</v>
      </c>
      <c r="E45" s="177" t="s">
        <v>3263</v>
      </c>
      <c r="G45" s="132"/>
      <c r="H45" s="2" t="s">
        <v>922</v>
      </c>
      <c r="I45" s="2">
        <v>40</v>
      </c>
      <c r="J45" s="2" t="s">
        <v>3909</v>
      </c>
      <c r="K45" s="178"/>
    </row>
    <row r="46" spans="1:11">
      <c r="A46" s="132"/>
      <c r="B46" s="139"/>
      <c r="C46" s="139"/>
      <c r="D46" s="2" t="s">
        <v>3824</v>
      </c>
      <c r="E46" s="178"/>
      <c r="G46" s="132"/>
      <c r="H46" s="2" t="s">
        <v>923</v>
      </c>
      <c r="I46" s="2">
        <v>5</v>
      </c>
      <c r="J46" s="2" t="s">
        <v>3856</v>
      </c>
      <c r="K46" s="178"/>
    </row>
    <row r="47" spans="1:11">
      <c r="A47" s="132"/>
      <c r="B47" s="139" t="s">
        <v>669</v>
      </c>
      <c r="C47" s="139">
        <v>19</v>
      </c>
      <c r="D47" s="2" t="s">
        <v>104</v>
      </c>
      <c r="E47" s="178"/>
      <c r="G47" s="132"/>
      <c r="H47" s="2" t="s">
        <v>924</v>
      </c>
      <c r="I47" s="2">
        <v>30</v>
      </c>
      <c r="J47" s="2" t="s">
        <v>3862</v>
      </c>
      <c r="K47" s="178"/>
    </row>
    <row r="48" spans="1:11">
      <c r="A48" s="132"/>
      <c r="B48" s="139"/>
      <c r="C48" s="139"/>
      <c r="D48" s="2" t="s">
        <v>105</v>
      </c>
      <c r="E48" s="178"/>
      <c r="G48" s="132"/>
      <c r="H48" s="2" t="s">
        <v>925</v>
      </c>
      <c r="I48" s="2">
        <v>50</v>
      </c>
      <c r="J48" s="2" t="s">
        <v>3847</v>
      </c>
      <c r="K48" s="178"/>
    </row>
    <row r="49" spans="1:11">
      <c r="A49" s="132"/>
      <c r="B49" s="2" t="s">
        <v>670</v>
      </c>
      <c r="C49" s="2">
        <v>51</v>
      </c>
      <c r="D49" s="2" t="s">
        <v>958</v>
      </c>
      <c r="E49" s="178"/>
      <c r="G49" s="132"/>
      <c r="H49" s="2" t="s">
        <v>926</v>
      </c>
      <c r="I49" s="2">
        <v>72</v>
      </c>
      <c r="J49" s="2" t="s">
        <v>1637</v>
      </c>
      <c r="K49" s="178"/>
    </row>
    <row r="50" spans="1:11">
      <c r="A50" s="132"/>
      <c r="B50" s="2" t="s">
        <v>671</v>
      </c>
      <c r="C50" s="2">
        <v>56</v>
      </c>
      <c r="D50" s="2" t="s">
        <v>2351</v>
      </c>
      <c r="E50" s="178"/>
      <c r="G50" s="132"/>
      <c r="H50" s="139" t="s">
        <v>927</v>
      </c>
      <c r="I50" s="139">
        <v>90</v>
      </c>
      <c r="J50" s="2" t="s">
        <v>2304</v>
      </c>
      <c r="K50" s="178"/>
    </row>
    <row r="51" spans="1:11">
      <c r="A51" s="132"/>
      <c r="B51" s="2" t="s">
        <v>672</v>
      </c>
      <c r="C51" s="2">
        <v>61</v>
      </c>
      <c r="D51" s="2" t="s">
        <v>4048</v>
      </c>
      <c r="E51" s="178"/>
      <c r="G51" s="132"/>
      <c r="H51" s="139"/>
      <c r="I51" s="139"/>
      <c r="J51" s="2" t="s">
        <v>2305</v>
      </c>
      <c r="K51" s="178"/>
    </row>
    <row r="52" spans="1:11">
      <c r="A52" s="132"/>
      <c r="B52" s="2" t="s">
        <v>673</v>
      </c>
      <c r="C52" s="2">
        <v>61</v>
      </c>
      <c r="D52" s="2" t="s">
        <v>4048</v>
      </c>
      <c r="E52" s="178"/>
      <c r="G52" s="132"/>
      <c r="H52" s="2" t="s">
        <v>928</v>
      </c>
      <c r="I52" s="2">
        <v>92</v>
      </c>
      <c r="J52" s="2" t="s">
        <v>2328</v>
      </c>
      <c r="K52" s="178"/>
    </row>
    <row r="53" spans="1:11">
      <c r="A53" s="132"/>
      <c r="B53" s="2" t="s">
        <v>674</v>
      </c>
      <c r="C53" s="2">
        <v>66</v>
      </c>
      <c r="D53" s="2" t="s">
        <v>3789</v>
      </c>
      <c r="E53" s="178"/>
      <c r="G53" s="132"/>
      <c r="H53" s="139" t="s">
        <v>929</v>
      </c>
      <c r="I53" s="139">
        <v>96</v>
      </c>
      <c r="J53" s="2" t="s">
        <v>1026</v>
      </c>
      <c r="K53" s="178"/>
    </row>
    <row r="54" spans="1:11">
      <c r="A54" s="132"/>
      <c r="B54" s="2" t="s">
        <v>675</v>
      </c>
      <c r="C54" s="2">
        <v>66</v>
      </c>
      <c r="D54" s="2" t="s">
        <v>12</v>
      </c>
      <c r="E54" s="178"/>
      <c r="G54" s="132"/>
      <c r="H54" s="139"/>
      <c r="I54" s="139"/>
      <c r="J54" s="2" t="s">
        <v>2314</v>
      </c>
      <c r="K54" s="179"/>
    </row>
    <row r="55" spans="1:11">
      <c r="A55" s="132"/>
      <c r="B55" s="2" t="s">
        <v>676</v>
      </c>
      <c r="C55" s="2">
        <v>71</v>
      </c>
      <c r="D55" s="2" t="s">
        <v>2300</v>
      </c>
      <c r="E55" s="178"/>
    </row>
    <row r="56" spans="1:11">
      <c r="A56" s="132"/>
      <c r="B56" s="2" t="s">
        <v>677</v>
      </c>
      <c r="C56" s="2">
        <v>76</v>
      </c>
      <c r="D56" s="2" t="s">
        <v>34</v>
      </c>
      <c r="E56" s="179"/>
      <c r="G56" s="132" t="s">
        <v>1027</v>
      </c>
      <c r="H56" s="139" t="s">
        <v>930</v>
      </c>
      <c r="I56" s="139"/>
      <c r="J56" s="2" t="s">
        <v>3764</v>
      </c>
      <c r="K56" s="177" t="s">
        <v>3261</v>
      </c>
    </row>
    <row r="57" spans="1:11">
      <c r="G57" s="132"/>
      <c r="H57" s="139"/>
      <c r="I57" s="139"/>
      <c r="J57" s="2" t="s">
        <v>3739</v>
      </c>
      <c r="K57" s="178"/>
    </row>
    <row r="58" spans="1:11">
      <c r="A58" s="132" t="s">
        <v>1030</v>
      </c>
      <c r="B58" s="139" t="s">
        <v>678</v>
      </c>
      <c r="C58" s="139">
        <v>16</v>
      </c>
      <c r="D58" s="2" t="s">
        <v>157</v>
      </c>
      <c r="E58" s="177" t="s">
        <v>1064</v>
      </c>
      <c r="G58" s="132"/>
      <c r="H58" s="2" t="s">
        <v>931</v>
      </c>
      <c r="I58" s="2"/>
      <c r="J58" s="2" t="s">
        <v>3745</v>
      </c>
      <c r="K58" s="178"/>
    </row>
    <row r="59" spans="1:11">
      <c r="A59" s="132"/>
      <c r="B59" s="139"/>
      <c r="C59" s="139"/>
      <c r="D59" s="2" t="s">
        <v>151</v>
      </c>
      <c r="E59" s="178"/>
      <c r="G59" s="132"/>
      <c r="H59" s="139" t="s">
        <v>932</v>
      </c>
      <c r="I59" s="139"/>
      <c r="J59" s="2" t="s">
        <v>1613</v>
      </c>
      <c r="K59" s="178"/>
    </row>
    <row r="60" spans="1:11">
      <c r="A60" s="132"/>
      <c r="B60" s="2" t="s">
        <v>679</v>
      </c>
      <c r="C60" s="2">
        <v>16</v>
      </c>
      <c r="D60" s="2" t="s">
        <v>3837</v>
      </c>
      <c r="E60" s="178"/>
      <c r="G60" s="132"/>
      <c r="H60" s="139"/>
      <c r="I60" s="139"/>
      <c r="J60" s="2" t="s">
        <v>3940</v>
      </c>
      <c r="K60" s="178"/>
    </row>
    <row r="61" spans="1:11">
      <c r="A61" s="132"/>
      <c r="B61" s="139" t="s">
        <v>680</v>
      </c>
      <c r="C61" s="139">
        <v>26</v>
      </c>
      <c r="D61" s="2" t="s">
        <v>681</v>
      </c>
      <c r="E61" s="178"/>
      <c r="G61" s="132"/>
      <c r="H61" s="139" t="s">
        <v>933</v>
      </c>
      <c r="I61" s="139"/>
      <c r="J61" s="2" t="s">
        <v>115</v>
      </c>
      <c r="K61" s="178"/>
    </row>
    <row r="62" spans="1:11">
      <c r="A62" s="132"/>
      <c r="B62" s="139"/>
      <c r="C62" s="139"/>
      <c r="D62" s="2" t="s">
        <v>960</v>
      </c>
      <c r="E62" s="178"/>
      <c r="G62" s="132"/>
      <c r="H62" s="139"/>
      <c r="I62" s="139"/>
      <c r="J62" s="2" t="s">
        <v>3899</v>
      </c>
      <c r="K62" s="178"/>
    </row>
    <row r="63" spans="1:11">
      <c r="A63" s="132"/>
      <c r="B63" s="2" t="s">
        <v>682</v>
      </c>
      <c r="C63" s="2">
        <v>26</v>
      </c>
      <c r="D63" s="2" t="s">
        <v>3862</v>
      </c>
      <c r="E63" s="178"/>
      <c r="G63" s="132"/>
      <c r="H63" s="2" t="s">
        <v>934</v>
      </c>
      <c r="I63" s="2"/>
      <c r="J63" s="2" t="s">
        <v>3899</v>
      </c>
      <c r="K63" s="178"/>
    </row>
    <row r="64" spans="1:11">
      <c r="A64" s="132"/>
      <c r="B64" s="2" t="s">
        <v>683</v>
      </c>
      <c r="C64" s="2">
        <v>36</v>
      </c>
      <c r="D64" s="2" t="s">
        <v>959</v>
      </c>
      <c r="E64" s="178"/>
      <c r="G64" s="132"/>
      <c r="H64" s="2" t="s">
        <v>935</v>
      </c>
      <c r="I64" s="2"/>
      <c r="J64" s="2" t="s">
        <v>936</v>
      </c>
      <c r="K64" s="178"/>
    </row>
    <row r="65" spans="1:11">
      <c r="A65" s="132"/>
      <c r="B65" s="2" t="s">
        <v>684</v>
      </c>
      <c r="C65" s="2">
        <v>36</v>
      </c>
      <c r="D65" s="2" t="s">
        <v>214</v>
      </c>
      <c r="E65" s="178"/>
      <c r="G65" s="132"/>
      <c r="H65" s="2" t="s">
        <v>937</v>
      </c>
      <c r="I65" s="2"/>
      <c r="J65" s="2" t="s">
        <v>938</v>
      </c>
      <c r="K65" s="178"/>
    </row>
    <row r="66" spans="1:11">
      <c r="A66" s="132"/>
      <c r="B66" s="62" t="s">
        <v>685</v>
      </c>
      <c r="C66" s="2">
        <v>41</v>
      </c>
      <c r="D66" s="2" t="s">
        <v>3926</v>
      </c>
      <c r="E66" s="178"/>
      <c r="G66" s="132"/>
      <c r="H66" s="2" t="s">
        <v>939</v>
      </c>
      <c r="I66" s="2"/>
      <c r="J66" s="2" t="s">
        <v>940</v>
      </c>
      <c r="K66" s="178"/>
    </row>
    <row r="67" spans="1:11">
      <c r="A67" s="132"/>
      <c r="B67" s="2" t="s">
        <v>686</v>
      </c>
      <c r="C67" s="2">
        <v>41</v>
      </c>
      <c r="D67" s="2" t="s">
        <v>3926</v>
      </c>
      <c r="E67" s="178"/>
      <c r="G67" s="132"/>
      <c r="H67" s="2" t="s">
        <v>941</v>
      </c>
      <c r="I67" s="2"/>
      <c r="J67" s="2" t="s">
        <v>184</v>
      </c>
      <c r="K67" s="178"/>
    </row>
    <row r="68" spans="1:11">
      <c r="A68" s="132"/>
      <c r="B68" s="2" t="s">
        <v>687</v>
      </c>
      <c r="C68" s="2">
        <v>46</v>
      </c>
      <c r="D68" s="2" t="s">
        <v>3830</v>
      </c>
      <c r="E68" s="178"/>
      <c r="G68" s="132"/>
      <c r="H68" s="2" t="s">
        <v>942</v>
      </c>
      <c r="I68" s="2"/>
      <c r="J68" s="2" t="s">
        <v>1595</v>
      </c>
      <c r="K68" s="178"/>
    </row>
    <row r="69" spans="1:11">
      <c r="A69" s="132"/>
      <c r="B69" s="180" t="s">
        <v>688</v>
      </c>
      <c r="C69" s="139">
        <v>46</v>
      </c>
      <c r="D69" s="2" t="s">
        <v>3968</v>
      </c>
      <c r="E69" s="178"/>
      <c r="G69" s="132"/>
      <c r="H69" s="2" t="s">
        <v>943</v>
      </c>
      <c r="I69" s="2"/>
      <c r="J69" s="2" t="s">
        <v>229</v>
      </c>
      <c r="K69" s="178"/>
    </row>
    <row r="70" spans="1:11">
      <c r="A70" s="132"/>
      <c r="B70" s="180"/>
      <c r="C70" s="139"/>
      <c r="D70" s="2" t="s">
        <v>961</v>
      </c>
      <c r="E70" s="178"/>
      <c r="G70" s="132"/>
      <c r="H70" s="2" t="s">
        <v>944</v>
      </c>
      <c r="I70" s="2"/>
      <c r="J70" s="2" t="s">
        <v>1598</v>
      </c>
      <c r="K70" s="178"/>
    </row>
    <row r="71" spans="1:11">
      <c r="A71" s="132"/>
      <c r="B71" s="180"/>
      <c r="C71" s="139"/>
      <c r="D71" s="2" t="s">
        <v>2307</v>
      </c>
      <c r="E71" s="178"/>
      <c r="G71" s="132"/>
      <c r="H71" s="2" t="s">
        <v>945</v>
      </c>
      <c r="I71" s="2"/>
      <c r="J71" s="2" t="s">
        <v>1595</v>
      </c>
      <c r="K71" s="178"/>
    </row>
    <row r="72" spans="1:11">
      <c r="A72" s="132"/>
      <c r="B72" s="2" t="s">
        <v>689</v>
      </c>
      <c r="C72" s="2">
        <v>56</v>
      </c>
      <c r="D72" s="2" t="s">
        <v>2351</v>
      </c>
      <c r="E72" s="178"/>
      <c r="G72" s="132"/>
      <c r="H72" s="2" t="s">
        <v>946</v>
      </c>
      <c r="I72" s="2"/>
      <c r="J72" s="2" t="s">
        <v>1680</v>
      </c>
      <c r="K72" s="178"/>
    </row>
    <row r="73" spans="1:11">
      <c r="A73" s="132"/>
      <c r="B73" s="2" t="s">
        <v>690</v>
      </c>
      <c r="C73" s="2">
        <v>56</v>
      </c>
      <c r="D73" s="2" t="s">
        <v>2323</v>
      </c>
      <c r="E73" s="178"/>
      <c r="G73" s="132"/>
      <c r="H73" s="2" t="s">
        <v>947</v>
      </c>
      <c r="I73" s="2"/>
      <c r="J73" s="2" t="s">
        <v>1598</v>
      </c>
      <c r="K73" s="178"/>
    </row>
    <row r="74" spans="1:11">
      <c r="A74" s="132"/>
      <c r="B74" s="2" t="s">
        <v>818</v>
      </c>
      <c r="C74" s="2">
        <v>66</v>
      </c>
      <c r="D74" s="2" t="s">
        <v>3789</v>
      </c>
      <c r="E74" s="178"/>
      <c r="G74" s="132"/>
      <c r="H74" s="2" t="s">
        <v>948</v>
      </c>
      <c r="I74" s="2"/>
      <c r="J74" s="2" t="s">
        <v>159</v>
      </c>
      <c r="K74" s="178"/>
    </row>
    <row r="75" spans="1:11">
      <c r="A75" s="132"/>
      <c r="B75" s="2" t="s">
        <v>819</v>
      </c>
      <c r="C75" s="2">
        <v>66</v>
      </c>
      <c r="D75" s="2" t="s">
        <v>962</v>
      </c>
      <c r="E75" s="178"/>
      <c r="G75" s="132"/>
      <c r="H75" s="2" t="s">
        <v>949</v>
      </c>
      <c r="I75" s="2"/>
      <c r="J75" s="2" t="s">
        <v>1028</v>
      </c>
      <c r="K75" s="178"/>
    </row>
    <row r="76" spans="1:11">
      <c r="A76" s="132"/>
      <c r="B76" s="2" t="s">
        <v>820</v>
      </c>
      <c r="C76" s="2">
        <v>66</v>
      </c>
      <c r="D76" s="2" t="s">
        <v>962</v>
      </c>
      <c r="E76" s="178"/>
      <c r="G76" s="132"/>
      <c r="H76" s="2" t="s">
        <v>950</v>
      </c>
      <c r="I76" s="2"/>
      <c r="J76" s="2" t="s">
        <v>1600</v>
      </c>
      <c r="K76" s="178"/>
    </row>
    <row r="77" spans="1:11">
      <c r="A77" s="132"/>
      <c r="B77" s="139" t="s">
        <v>821</v>
      </c>
      <c r="C77" s="139">
        <v>72</v>
      </c>
      <c r="D77" s="2" t="s">
        <v>1637</v>
      </c>
      <c r="E77" s="178"/>
      <c r="G77" s="132"/>
      <c r="H77" s="2" t="s">
        <v>951</v>
      </c>
      <c r="I77" s="2"/>
      <c r="J77" s="2" t="s">
        <v>184</v>
      </c>
      <c r="K77" s="178"/>
    </row>
    <row r="78" spans="1:11">
      <c r="A78" s="132"/>
      <c r="B78" s="139"/>
      <c r="C78" s="139"/>
      <c r="D78" s="2" t="s">
        <v>2353</v>
      </c>
      <c r="E78" s="178"/>
      <c r="G78" s="132"/>
      <c r="H78" s="2" t="s">
        <v>952</v>
      </c>
      <c r="I78" s="2"/>
      <c r="J78" s="2" t="s">
        <v>1595</v>
      </c>
      <c r="K78" s="178"/>
    </row>
    <row r="79" spans="1:11">
      <c r="A79" s="132"/>
      <c r="B79" s="139"/>
      <c r="C79" s="139"/>
      <c r="D79" s="2" t="s">
        <v>2321</v>
      </c>
      <c r="E79" s="178"/>
      <c r="G79" s="132"/>
      <c r="H79" s="2" t="s">
        <v>953</v>
      </c>
      <c r="I79" s="2"/>
      <c r="J79" s="2" t="s">
        <v>1595</v>
      </c>
      <c r="K79" s="178"/>
    </row>
    <row r="80" spans="1:11">
      <c r="A80" s="132"/>
      <c r="B80" s="180" t="s">
        <v>822</v>
      </c>
      <c r="C80" s="139">
        <v>76</v>
      </c>
      <c r="D80" s="2" t="s">
        <v>1675</v>
      </c>
      <c r="E80" s="178"/>
      <c r="G80" s="132"/>
      <c r="H80" s="2" t="s">
        <v>954</v>
      </c>
      <c r="I80" s="2"/>
      <c r="J80" s="2" t="s">
        <v>1598</v>
      </c>
      <c r="K80" s="178"/>
    </row>
    <row r="81" spans="1:11">
      <c r="A81" s="132"/>
      <c r="B81" s="180"/>
      <c r="C81" s="139"/>
      <c r="D81" s="2" t="s">
        <v>1659</v>
      </c>
      <c r="E81" s="178"/>
      <c r="G81" s="132"/>
      <c r="H81" s="2" t="s">
        <v>955</v>
      </c>
      <c r="I81" s="2"/>
      <c r="J81" s="2" t="s">
        <v>1604</v>
      </c>
      <c r="K81" s="178"/>
    </row>
    <row r="82" spans="1:11">
      <c r="A82" s="132"/>
      <c r="B82" s="180" t="s">
        <v>823</v>
      </c>
      <c r="C82" s="139">
        <v>86</v>
      </c>
      <c r="D82" s="2" t="s">
        <v>2333</v>
      </c>
      <c r="E82" s="178"/>
      <c r="G82" s="132"/>
      <c r="H82" s="2" t="s">
        <v>956</v>
      </c>
      <c r="I82" s="2"/>
      <c r="J82" s="2" t="s">
        <v>1680</v>
      </c>
      <c r="K82" s="179"/>
    </row>
    <row r="83" spans="1:11">
      <c r="A83" s="132"/>
      <c r="B83" s="180"/>
      <c r="C83" s="139"/>
      <c r="D83" s="2" t="s">
        <v>1676</v>
      </c>
      <c r="E83" s="179"/>
    </row>
    <row r="85" spans="1:11">
      <c r="A85" s="132" t="s">
        <v>1037</v>
      </c>
      <c r="B85" s="2" t="s">
        <v>824</v>
      </c>
      <c r="C85" s="2">
        <v>20</v>
      </c>
      <c r="D85" s="2" t="s">
        <v>825</v>
      </c>
      <c r="E85" s="177" t="s">
        <v>3265</v>
      </c>
    </row>
    <row r="86" spans="1:11">
      <c r="A86" s="132"/>
      <c r="B86" s="139" t="s">
        <v>826</v>
      </c>
      <c r="C86" s="139">
        <v>25</v>
      </c>
      <c r="D86" s="2" t="s">
        <v>207</v>
      </c>
      <c r="E86" s="178"/>
    </row>
    <row r="87" spans="1:11">
      <c r="A87" s="132"/>
      <c r="B87" s="139"/>
      <c r="C87" s="139"/>
      <c r="D87" s="2" t="s">
        <v>127</v>
      </c>
      <c r="E87" s="178"/>
    </row>
    <row r="88" spans="1:11">
      <c r="A88" s="132"/>
      <c r="B88" s="2" t="s">
        <v>665</v>
      </c>
      <c r="C88" s="2">
        <v>35</v>
      </c>
      <c r="D88" s="2" t="s">
        <v>963</v>
      </c>
      <c r="E88" s="178"/>
    </row>
    <row r="89" spans="1:11">
      <c r="A89" s="132"/>
      <c r="B89" s="2" t="s">
        <v>827</v>
      </c>
      <c r="C89" s="2">
        <v>35</v>
      </c>
      <c r="D89" s="2" t="s">
        <v>3887</v>
      </c>
      <c r="E89" s="178"/>
    </row>
    <row r="90" spans="1:11">
      <c r="A90" s="132"/>
      <c r="B90" s="2" t="s">
        <v>828</v>
      </c>
      <c r="C90" s="2">
        <v>50</v>
      </c>
      <c r="D90" s="2" t="s">
        <v>3823</v>
      </c>
      <c r="E90" s="178"/>
    </row>
    <row r="91" spans="1:11">
      <c r="A91" s="132"/>
      <c r="B91" s="2" t="s">
        <v>829</v>
      </c>
      <c r="C91" s="2">
        <v>5</v>
      </c>
      <c r="D91" s="2" t="s">
        <v>167</v>
      </c>
      <c r="E91" s="178"/>
    </row>
    <row r="92" spans="1:11">
      <c r="A92" s="132"/>
      <c r="B92" s="2" t="s">
        <v>830</v>
      </c>
      <c r="C92" s="2">
        <v>31</v>
      </c>
      <c r="D92" s="2" t="s">
        <v>3883</v>
      </c>
      <c r="E92" s="178"/>
    </row>
    <row r="93" spans="1:11">
      <c r="A93" s="132"/>
      <c r="B93" s="2" t="s">
        <v>831</v>
      </c>
      <c r="C93" s="2">
        <v>31</v>
      </c>
      <c r="D93" s="2" t="s">
        <v>963</v>
      </c>
      <c r="E93" s="178"/>
    </row>
    <row r="94" spans="1:11">
      <c r="A94" s="132"/>
      <c r="B94" s="2" t="s">
        <v>832</v>
      </c>
      <c r="C94" s="2">
        <v>61</v>
      </c>
      <c r="D94" s="2" t="s">
        <v>964</v>
      </c>
      <c r="E94" s="178"/>
    </row>
    <row r="95" spans="1:11">
      <c r="A95" s="132"/>
      <c r="B95" s="139" t="s">
        <v>833</v>
      </c>
      <c r="C95" s="139">
        <v>26</v>
      </c>
      <c r="D95" s="2" t="s">
        <v>207</v>
      </c>
      <c r="E95" s="178"/>
    </row>
    <row r="96" spans="1:11">
      <c r="A96" s="132"/>
      <c r="B96" s="139"/>
      <c r="C96" s="139"/>
      <c r="D96" s="2" t="s">
        <v>3987</v>
      </c>
      <c r="E96" s="178"/>
    </row>
    <row r="97" spans="1:5">
      <c r="A97" s="132"/>
      <c r="B97" s="2" t="s">
        <v>834</v>
      </c>
      <c r="C97" s="2">
        <v>30</v>
      </c>
      <c r="D97" s="2" t="s">
        <v>3887</v>
      </c>
      <c r="E97" s="178"/>
    </row>
    <row r="98" spans="1:5">
      <c r="A98" s="132"/>
      <c r="B98" s="2" t="s">
        <v>835</v>
      </c>
      <c r="C98" s="2">
        <v>35</v>
      </c>
      <c r="D98" s="2" t="s">
        <v>3887</v>
      </c>
      <c r="E98" s="178"/>
    </row>
    <row r="99" spans="1:5">
      <c r="A99" s="132"/>
      <c r="B99" s="2" t="s">
        <v>836</v>
      </c>
      <c r="C99" s="2">
        <v>46</v>
      </c>
      <c r="D99" s="2" t="s">
        <v>3823</v>
      </c>
      <c r="E99" s="178"/>
    </row>
    <row r="100" spans="1:5">
      <c r="A100" s="132"/>
      <c r="B100" s="139" t="s">
        <v>656</v>
      </c>
      <c r="C100" s="139">
        <v>35</v>
      </c>
      <c r="D100" s="2" t="s">
        <v>3989</v>
      </c>
      <c r="E100" s="178"/>
    </row>
    <row r="101" spans="1:5">
      <c r="A101" s="132"/>
      <c r="B101" s="139"/>
      <c r="C101" s="139"/>
      <c r="D101" s="2" t="s">
        <v>106</v>
      </c>
      <c r="E101" s="178"/>
    </row>
    <row r="102" spans="1:5">
      <c r="A102" s="132"/>
      <c r="B102" s="139" t="s">
        <v>837</v>
      </c>
      <c r="C102" s="139">
        <v>65</v>
      </c>
      <c r="D102" s="2" t="s">
        <v>3749</v>
      </c>
      <c r="E102" s="178"/>
    </row>
    <row r="103" spans="1:5">
      <c r="A103" s="132"/>
      <c r="B103" s="139"/>
      <c r="C103" s="139"/>
      <c r="D103" s="2" t="s">
        <v>2305</v>
      </c>
      <c r="E103" s="178"/>
    </row>
    <row r="104" spans="1:5">
      <c r="A104" s="132"/>
      <c r="B104" s="2" t="s">
        <v>838</v>
      </c>
      <c r="C104" s="2">
        <v>45</v>
      </c>
      <c r="D104" s="2" t="s">
        <v>3911</v>
      </c>
      <c r="E104" s="178"/>
    </row>
    <row r="105" spans="1:5">
      <c r="A105" s="132"/>
      <c r="B105" s="139" t="s">
        <v>840</v>
      </c>
      <c r="C105" s="139">
        <v>85</v>
      </c>
      <c r="D105" s="2" t="s">
        <v>1673</v>
      </c>
      <c r="E105" s="178"/>
    </row>
    <row r="106" spans="1:5">
      <c r="A106" s="132"/>
      <c r="B106" s="139"/>
      <c r="C106" s="139"/>
      <c r="D106" s="2" t="s">
        <v>2333</v>
      </c>
      <c r="E106" s="178"/>
    </row>
    <row r="107" spans="1:5">
      <c r="A107" s="132"/>
      <c r="B107" s="139" t="s">
        <v>841</v>
      </c>
      <c r="C107" s="139">
        <v>84</v>
      </c>
      <c r="D107" s="2" t="s">
        <v>1673</v>
      </c>
      <c r="E107" s="178"/>
    </row>
    <row r="108" spans="1:5">
      <c r="A108" s="132"/>
      <c r="B108" s="139"/>
      <c r="C108" s="139"/>
      <c r="D108" s="2" t="s">
        <v>2305</v>
      </c>
      <c r="E108" s="178"/>
    </row>
    <row r="109" spans="1:5">
      <c r="A109" s="132"/>
      <c r="B109" s="2" t="s">
        <v>842</v>
      </c>
      <c r="C109" s="2">
        <v>94</v>
      </c>
      <c r="D109" s="2" t="s">
        <v>2355</v>
      </c>
      <c r="E109" s="178"/>
    </row>
    <row r="110" spans="1:5">
      <c r="A110" s="132"/>
      <c r="B110" s="2" t="s">
        <v>843</v>
      </c>
      <c r="C110" s="2">
        <v>55</v>
      </c>
      <c r="D110" s="2" t="s">
        <v>3772</v>
      </c>
      <c r="E110" s="178"/>
    </row>
    <row r="111" spans="1:5">
      <c r="A111" s="132"/>
      <c r="B111" s="2" t="s">
        <v>844</v>
      </c>
      <c r="C111" s="2">
        <v>50</v>
      </c>
      <c r="D111" s="2" t="s">
        <v>3830</v>
      </c>
      <c r="E111" s="179"/>
    </row>
  </sheetData>
  <mergeCells count="95">
    <mergeCell ref="I50:I51"/>
    <mergeCell ref="H53:H54"/>
    <mergeCell ref="I53:I54"/>
    <mergeCell ref="G3:G54"/>
    <mergeCell ref="H3:H6"/>
    <mergeCell ref="I3:I6"/>
    <mergeCell ref="A1:K1"/>
    <mergeCell ref="G56:G82"/>
    <mergeCell ref="H56:H57"/>
    <mergeCell ref="I56:I57"/>
    <mergeCell ref="K56:K82"/>
    <mergeCell ref="H59:H60"/>
    <mergeCell ref="I59:I60"/>
    <mergeCell ref="H61:H62"/>
    <mergeCell ref="I61:I62"/>
    <mergeCell ref="H33:H35"/>
    <mergeCell ref="I33:I35"/>
    <mergeCell ref="H36:H38"/>
    <mergeCell ref="I36:I38"/>
    <mergeCell ref="K3:K54"/>
    <mergeCell ref="H8:H9"/>
    <mergeCell ref="I8:I9"/>
    <mergeCell ref="H10:H11"/>
    <mergeCell ref="I10:I11"/>
    <mergeCell ref="H41:H42"/>
    <mergeCell ref="H12:H13"/>
    <mergeCell ref="I12:I13"/>
    <mergeCell ref="H25:H26"/>
    <mergeCell ref="I25:I26"/>
    <mergeCell ref="H27:H29"/>
    <mergeCell ref="I27:I29"/>
    <mergeCell ref="H39:H40"/>
    <mergeCell ref="I39:I40"/>
    <mergeCell ref="H50:H51"/>
    <mergeCell ref="I41:I42"/>
    <mergeCell ref="A85:A111"/>
    <mergeCell ref="E85:E111"/>
    <mergeCell ref="B86:B87"/>
    <mergeCell ref="C86:C87"/>
    <mergeCell ref="B95:B96"/>
    <mergeCell ref="C95:C96"/>
    <mergeCell ref="B100:B101"/>
    <mergeCell ref="C100:C101"/>
    <mergeCell ref="B102:B103"/>
    <mergeCell ref="C102:C103"/>
    <mergeCell ref="B105:B106"/>
    <mergeCell ref="C105:C106"/>
    <mergeCell ref="B107:B108"/>
    <mergeCell ref="C107:C108"/>
    <mergeCell ref="A58:A83"/>
    <mergeCell ref="B58:B59"/>
    <mergeCell ref="C58:C59"/>
    <mergeCell ref="E58:E83"/>
    <mergeCell ref="B61:B62"/>
    <mergeCell ref="C61:C62"/>
    <mergeCell ref="B69:B71"/>
    <mergeCell ref="C69:C71"/>
    <mergeCell ref="B77:B79"/>
    <mergeCell ref="C77:C79"/>
    <mergeCell ref="B80:B81"/>
    <mergeCell ref="C80:C81"/>
    <mergeCell ref="B82:B83"/>
    <mergeCell ref="C82:C83"/>
    <mergeCell ref="A45:A56"/>
    <mergeCell ref="B45:B46"/>
    <mergeCell ref="C45:C46"/>
    <mergeCell ref="E45:E56"/>
    <mergeCell ref="B47:B48"/>
    <mergeCell ref="C47:C48"/>
    <mergeCell ref="E26:E43"/>
    <mergeCell ref="B30:B31"/>
    <mergeCell ref="C30:C31"/>
    <mergeCell ref="B32:B33"/>
    <mergeCell ref="C32:C33"/>
    <mergeCell ref="B5:B6"/>
    <mergeCell ref="C5:C6"/>
    <mergeCell ref="A26:A43"/>
    <mergeCell ref="B26:B28"/>
    <mergeCell ref="C26:C28"/>
    <mergeCell ref="B7:B8"/>
    <mergeCell ref="C7:C8"/>
    <mergeCell ref="E3:E12"/>
    <mergeCell ref="A14:A24"/>
    <mergeCell ref="E14:E24"/>
    <mergeCell ref="B15:B16"/>
    <mergeCell ref="C15:C16"/>
    <mergeCell ref="B17:B18"/>
    <mergeCell ref="C17:C18"/>
    <mergeCell ref="B19:B20"/>
    <mergeCell ref="C19:C20"/>
    <mergeCell ref="B23:B24"/>
    <mergeCell ref="C23:C24"/>
    <mergeCell ref="A3:A12"/>
    <mergeCell ref="B3:B4"/>
    <mergeCell ref="C3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H1"/>
    </sheetView>
  </sheetViews>
  <sheetFormatPr defaultRowHeight="14.25"/>
  <cols>
    <col min="1" max="1" width="8.5" style="27" customWidth="1"/>
    <col min="2" max="16384" width="9" style="27"/>
  </cols>
  <sheetData>
    <row r="1" spans="1:8" ht="33">
      <c r="A1" s="173" t="s">
        <v>636</v>
      </c>
      <c r="B1" s="173"/>
      <c r="C1" s="173"/>
      <c r="D1" s="173"/>
      <c r="E1" s="173"/>
      <c r="F1" s="173"/>
      <c r="G1" s="173"/>
      <c r="H1" s="173"/>
    </row>
    <row r="2" spans="1:8" ht="28.5">
      <c r="A2" s="10" t="s">
        <v>637</v>
      </c>
      <c r="B2" s="5" t="s">
        <v>631</v>
      </c>
      <c r="C2" s="5" t="s">
        <v>632</v>
      </c>
      <c r="D2" s="5" t="s">
        <v>635</v>
      </c>
      <c r="E2" s="5" t="s">
        <v>633</v>
      </c>
      <c r="F2" s="5" t="s">
        <v>630</v>
      </c>
      <c r="G2" s="5" t="s">
        <v>634</v>
      </c>
      <c r="H2" s="5" t="s">
        <v>577</v>
      </c>
    </row>
    <row r="3" spans="1:8">
      <c r="A3" s="5" t="s">
        <v>623</v>
      </c>
      <c r="B3" s="1" t="s">
        <v>579</v>
      </c>
      <c r="C3" s="33" t="s">
        <v>580</v>
      </c>
      <c r="D3" s="33" t="s">
        <v>581</v>
      </c>
      <c r="E3" s="33" t="s">
        <v>582</v>
      </c>
      <c r="F3" s="1" t="s">
        <v>578</v>
      </c>
      <c r="G3" s="33" t="s">
        <v>583</v>
      </c>
      <c r="H3" s="1" t="s">
        <v>584</v>
      </c>
    </row>
    <row r="4" spans="1:8">
      <c r="A4" s="5" t="s">
        <v>624</v>
      </c>
      <c r="B4" s="1" t="s">
        <v>585</v>
      </c>
      <c r="C4" s="1" t="s">
        <v>586</v>
      </c>
      <c r="D4" s="1" t="s">
        <v>587</v>
      </c>
      <c r="E4" s="1" t="s">
        <v>588</v>
      </c>
      <c r="F4" s="1" t="s">
        <v>579</v>
      </c>
      <c r="G4" s="1" t="s">
        <v>589</v>
      </c>
      <c r="H4" s="1" t="s">
        <v>1771</v>
      </c>
    </row>
    <row r="5" spans="1:8">
      <c r="A5" s="5" t="s">
        <v>625</v>
      </c>
      <c r="B5" s="1" t="s">
        <v>587</v>
      </c>
      <c r="C5" s="33" t="s">
        <v>595</v>
      </c>
      <c r="D5" s="1" t="s">
        <v>596</v>
      </c>
      <c r="E5" s="33" t="s">
        <v>597</v>
      </c>
      <c r="F5" s="33" t="s">
        <v>594</v>
      </c>
      <c r="G5" s="33" t="s">
        <v>598</v>
      </c>
      <c r="H5" s="1" t="s">
        <v>584</v>
      </c>
    </row>
    <row r="6" spans="1:8">
      <c r="A6" s="5" t="s">
        <v>626</v>
      </c>
      <c r="B6" s="1" t="s">
        <v>600</v>
      </c>
      <c r="C6" s="1" t="s">
        <v>601</v>
      </c>
      <c r="D6" s="1" t="s">
        <v>602</v>
      </c>
      <c r="E6" s="1" t="s">
        <v>603</v>
      </c>
      <c r="F6" s="1" t="s">
        <v>599</v>
      </c>
      <c r="G6" s="1" t="s">
        <v>604</v>
      </c>
      <c r="H6" s="1" t="s">
        <v>1771</v>
      </c>
    </row>
    <row r="7" spans="1:8">
      <c r="A7" s="5" t="s">
        <v>627</v>
      </c>
      <c r="B7" s="1" t="s">
        <v>578</v>
      </c>
      <c r="C7" s="1" t="s">
        <v>606</v>
      </c>
      <c r="D7" s="1" t="s">
        <v>607</v>
      </c>
      <c r="E7" s="1" t="s">
        <v>608</v>
      </c>
      <c r="F7" s="1" t="s">
        <v>605</v>
      </c>
      <c r="G7" s="1" t="s">
        <v>609</v>
      </c>
      <c r="H7" s="1" t="s">
        <v>1771</v>
      </c>
    </row>
    <row r="8" spans="1:8">
      <c r="A8" s="5" t="s">
        <v>628</v>
      </c>
      <c r="B8" s="1" t="s">
        <v>611</v>
      </c>
      <c r="C8" s="1" t="s">
        <v>612</v>
      </c>
      <c r="D8" s="1" t="s">
        <v>613</v>
      </c>
      <c r="E8" s="1" t="s">
        <v>614</v>
      </c>
      <c r="F8" s="1" t="s">
        <v>610</v>
      </c>
      <c r="G8" s="1" t="s">
        <v>615</v>
      </c>
      <c r="H8" s="1" t="s">
        <v>616</v>
      </c>
    </row>
    <row r="9" spans="1:8">
      <c r="A9" s="5" t="s">
        <v>629</v>
      </c>
      <c r="B9" s="1" t="s">
        <v>618</v>
      </c>
      <c r="C9" s="1" t="s">
        <v>619</v>
      </c>
      <c r="D9" s="1" t="s">
        <v>620</v>
      </c>
      <c r="E9" s="1" t="s">
        <v>621</v>
      </c>
      <c r="F9" s="1" t="s">
        <v>617</v>
      </c>
      <c r="G9" s="1" t="s">
        <v>622</v>
      </c>
      <c r="H9" s="1" t="s">
        <v>1771</v>
      </c>
    </row>
  </sheetData>
  <mergeCells count="1">
    <mergeCell ref="A1:H1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111"/>
  <sheetViews>
    <sheetView workbookViewId="0">
      <pane ySplit="2" topLeftCell="A3" activePane="bottomLeft" state="frozen"/>
      <selection pane="bottomLeft" activeCell="L19" sqref="L19"/>
    </sheetView>
  </sheetViews>
  <sheetFormatPr defaultColWidth="9.625" defaultRowHeight="14.25"/>
  <cols>
    <col min="1" max="1" width="5.5" style="34" bestFit="1" customWidth="1"/>
    <col min="2" max="2" width="9.625" style="34" customWidth="1"/>
    <col min="3" max="3" width="5.5" style="34" bestFit="1" customWidth="1"/>
    <col min="4" max="4" width="9.625" style="34" customWidth="1"/>
    <col min="5" max="5" width="5.5" style="34" bestFit="1" customWidth="1"/>
    <col min="6" max="6" width="9.625" style="34" customWidth="1"/>
    <col min="7" max="7" width="5.5" style="34" bestFit="1" customWidth="1"/>
    <col min="8" max="8" width="9.625" style="34" customWidth="1"/>
    <col min="9" max="9" width="5.5" style="34" bestFit="1" customWidth="1"/>
    <col min="10" max="10" width="9.625" style="34" customWidth="1"/>
    <col min="11" max="11" width="5.5" style="34" bestFit="1" customWidth="1"/>
    <col min="12" max="12" width="9.625" style="34" customWidth="1"/>
    <col min="13" max="13" width="5.5" style="34" bestFit="1" customWidth="1"/>
    <col min="14" max="14" width="9.625" style="34" customWidth="1"/>
    <col min="15" max="15" width="5.5" style="34" bestFit="1" customWidth="1"/>
    <col min="16" max="16384" width="9.625" style="34"/>
  </cols>
  <sheetData>
    <row r="1" spans="1:16" ht="33">
      <c r="A1" s="181" t="s">
        <v>839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</row>
    <row r="2" spans="1:16">
      <c r="A2" s="36" t="s">
        <v>2157</v>
      </c>
      <c r="B2" s="36" t="s">
        <v>2158</v>
      </c>
      <c r="C2" s="36" t="s">
        <v>2157</v>
      </c>
      <c r="D2" s="36" t="s">
        <v>2158</v>
      </c>
      <c r="E2" s="36" t="s">
        <v>2157</v>
      </c>
      <c r="F2" s="36" t="s">
        <v>2158</v>
      </c>
      <c r="G2" s="36" t="s">
        <v>2157</v>
      </c>
      <c r="H2" s="36" t="s">
        <v>2158</v>
      </c>
      <c r="I2" s="36" t="s">
        <v>2157</v>
      </c>
      <c r="J2" s="36" t="s">
        <v>2158</v>
      </c>
      <c r="K2" s="36" t="s">
        <v>2157</v>
      </c>
      <c r="L2" s="36" t="s">
        <v>2158</v>
      </c>
      <c r="M2" s="36" t="s">
        <v>2157</v>
      </c>
      <c r="N2" s="36" t="s">
        <v>2158</v>
      </c>
      <c r="O2" s="36" t="s">
        <v>2157</v>
      </c>
      <c r="P2" s="36" t="s">
        <v>2158</v>
      </c>
    </row>
    <row r="3" spans="1:16">
      <c r="A3" s="3">
        <v>1</v>
      </c>
      <c r="B3" s="3" t="s">
        <v>1799</v>
      </c>
      <c r="C3" s="3">
        <v>11</v>
      </c>
      <c r="D3" s="3" t="s">
        <v>2159</v>
      </c>
      <c r="E3" s="3">
        <v>21</v>
      </c>
      <c r="F3" s="3" t="s">
        <v>84</v>
      </c>
      <c r="G3" s="3">
        <v>31</v>
      </c>
      <c r="H3" s="3" t="s">
        <v>1937</v>
      </c>
      <c r="I3" s="3">
        <v>41</v>
      </c>
      <c r="J3" s="3" t="s">
        <v>1944</v>
      </c>
      <c r="K3" s="3">
        <v>51</v>
      </c>
      <c r="L3" s="3" t="s">
        <v>3795</v>
      </c>
      <c r="M3" s="3">
        <v>61</v>
      </c>
      <c r="N3" s="3" t="s">
        <v>1956</v>
      </c>
      <c r="O3" s="3">
        <v>71</v>
      </c>
      <c r="P3" s="3" t="s">
        <v>1963</v>
      </c>
    </row>
    <row r="4" spans="1:16">
      <c r="A4" s="3">
        <v>2</v>
      </c>
      <c r="B4" s="3" t="s">
        <v>2160</v>
      </c>
      <c r="C4" s="3">
        <v>12</v>
      </c>
      <c r="D4" s="3" t="s">
        <v>2161</v>
      </c>
      <c r="E4" s="3">
        <v>22</v>
      </c>
      <c r="F4" s="3" t="s">
        <v>1930</v>
      </c>
      <c r="G4" s="3">
        <v>32</v>
      </c>
      <c r="H4" s="3" t="s">
        <v>3800</v>
      </c>
      <c r="I4" s="3">
        <v>42</v>
      </c>
      <c r="J4" s="3" t="s">
        <v>1945</v>
      </c>
      <c r="K4" s="3">
        <v>52</v>
      </c>
      <c r="L4" s="3" t="s">
        <v>3979</v>
      </c>
      <c r="M4" s="3">
        <v>62</v>
      </c>
      <c r="N4" s="3" t="s">
        <v>1957</v>
      </c>
      <c r="O4" s="3">
        <v>72</v>
      </c>
      <c r="P4" s="3" t="s">
        <v>80</v>
      </c>
    </row>
    <row r="5" spans="1:16">
      <c r="A5" s="3">
        <v>3</v>
      </c>
      <c r="B5" s="3" t="s">
        <v>2162</v>
      </c>
      <c r="C5" s="3">
        <v>13</v>
      </c>
      <c r="D5" s="3" t="s">
        <v>2163</v>
      </c>
      <c r="E5" s="3">
        <v>23</v>
      </c>
      <c r="F5" s="3" t="s">
        <v>1931</v>
      </c>
      <c r="G5" s="3">
        <v>33</v>
      </c>
      <c r="H5" s="3" t="s">
        <v>1938</v>
      </c>
      <c r="I5" s="3">
        <v>43</v>
      </c>
      <c r="J5" s="3" t="s">
        <v>1946</v>
      </c>
      <c r="K5" s="3">
        <v>53</v>
      </c>
      <c r="L5" s="3" t="s">
        <v>1951</v>
      </c>
      <c r="M5" s="3">
        <v>63</v>
      </c>
      <c r="N5" s="3" t="s">
        <v>1958</v>
      </c>
      <c r="O5" s="3">
        <v>73</v>
      </c>
      <c r="P5" s="3" t="s">
        <v>3802</v>
      </c>
    </row>
    <row r="6" spans="1:16">
      <c r="A6" s="3">
        <v>4</v>
      </c>
      <c r="B6" s="3" t="s">
        <v>2164</v>
      </c>
      <c r="C6" s="3">
        <v>14</v>
      </c>
      <c r="D6" s="3" t="s">
        <v>2165</v>
      </c>
      <c r="E6" s="3">
        <v>24</v>
      </c>
      <c r="F6" s="3" t="s">
        <v>1932</v>
      </c>
      <c r="G6" s="3">
        <v>34</v>
      </c>
      <c r="H6" s="3" t="s">
        <v>1939</v>
      </c>
      <c r="I6" s="3">
        <v>44</v>
      </c>
      <c r="J6" s="3" t="s">
        <v>1947</v>
      </c>
      <c r="K6" s="3">
        <v>54</v>
      </c>
      <c r="L6" s="3" t="s">
        <v>1952</v>
      </c>
      <c r="M6" s="3">
        <v>64</v>
      </c>
      <c r="N6" s="3" t="s">
        <v>1959</v>
      </c>
      <c r="O6" s="3">
        <v>74</v>
      </c>
      <c r="P6" s="3" t="s">
        <v>1964</v>
      </c>
    </row>
    <row r="7" spans="1:16">
      <c r="A7" s="3">
        <v>5</v>
      </c>
      <c r="B7" s="3" t="s">
        <v>2238</v>
      </c>
      <c r="C7" s="3">
        <v>15</v>
      </c>
      <c r="D7" s="3" t="s">
        <v>2166</v>
      </c>
      <c r="E7" s="3">
        <v>25</v>
      </c>
      <c r="F7" s="3" t="s">
        <v>1933</v>
      </c>
      <c r="G7" s="3">
        <v>35</v>
      </c>
      <c r="H7" s="3" t="s">
        <v>1940</v>
      </c>
      <c r="I7" s="3">
        <v>45</v>
      </c>
      <c r="J7" s="3" t="s">
        <v>3976</v>
      </c>
      <c r="K7" s="3">
        <v>55</v>
      </c>
      <c r="L7" s="3" t="s">
        <v>1953</v>
      </c>
      <c r="M7" s="3">
        <v>65</v>
      </c>
      <c r="N7" s="3" t="s">
        <v>1624</v>
      </c>
      <c r="O7" s="3">
        <v>75</v>
      </c>
      <c r="P7" s="3" t="s">
        <v>1965</v>
      </c>
    </row>
    <row r="8" spans="1:16">
      <c r="A8" s="3">
        <v>6</v>
      </c>
      <c r="B8" s="3" t="s">
        <v>492</v>
      </c>
      <c r="C8" s="3">
        <v>16</v>
      </c>
      <c r="D8" s="3" t="s">
        <v>2167</v>
      </c>
      <c r="E8" s="3">
        <v>26</v>
      </c>
      <c r="F8" s="3" t="s">
        <v>1934</v>
      </c>
      <c r="G8" s="3">
        <v>36</v>
      </c>
      <c r="H8" s="3" t="s">
        <v>1941</v>
      </c>
      <c r="I8" s="3">
        <v>46</v>
      </c>
      <c r="J8" s="3" t="s">
        <v>1948</v>
      </c>
      <c r="K8" s="3">
        <v>56</v>
      </c>
      <c r="L8" s="3" t="s">
        <v>1954</v>
      </c>
      <c r="M8" s="3">
        <v>66</v>
      </c>
      <c r="N8" s="3" t="s">
        <v>707</v>
      </c>
      <c r="O8" s="3">
        <v>76</v>
      </c>
      <c r="P8" s="3" t="s">
        <v>708</v>
      </c>
    </row>
    <row r="9" spans="1:16">
      <c r="A9" s="3">
        <v>7</v>
      </c>
      <c r="B9" s="3" t="s">
        <v>695</v>
      </c>
      <c r="C9" s="3">
        <v>17</v>
      </c>
      <c r="D9" s="3" t="s">
        <v>696</v>
      </c>
      <c r="E9" s="3">
        <v>27</v>
      </c>
      <c r="F9" s="3" t="s">
        <v>697</v>
      </c>
      <c r="G9" s="3">
        <v>37</v>
      </c>
      <c r="H9" s="3" t="s">
        <v>698</v>
      </c>
      <c r="I9" s="3">
        <v>47</v>
      </c>
      <c r="J9" s="3" t="s">
        <v>699</v>
      </c>
      <c r="K9" s="3">
        <v>57</v>
      </c>
      <c r="L9" s="3" t="s">
        <v>700</v>
      </c>
      <c r="M9" s="3">
        <v>67</v>
      </c>
      <c r="N9" s="3" t="s">
        <v>712</v>
      </c>
      <c r="O9" s="3">
        <v>77</v>
      </c>
      <c r="P9" s="3" t="s">
        <v>713</v>
      </c>
    </row>
    <row r="10" spans="1:16">
      <c r="A10" s="3">
        <v>8</v>
      </c>
      <c r="B10" s="3" t="s">
        <v>701</v>
      </c>
      <c r="C10" s="3">
        <v>18</v>
      </c>
      <c r="D10" s="3" t="s">
        <v>702</v>
      </c>
      <c r="E10" s="3">
        <v>28</v>
      </c>
      <c r="F10" s="3" t="s">
        <v>703</v>
      </c>
      <c r="G10" s="3">
        <v>38</v>
      </c>
      <c r="H10" s="3" t="s">
        <v>704</v>
      </c>
      <c r="I10" s="3">
        <v>48</v>
      </c>
      <c r="J10" s="3" t="s">
        <v>705</v>
      </c>
      <c r="K10" s="3">
        <v>58</v>
      </c>
      <c r="L10" s="3" t="s">
        <v>706</v>
      </c>
      <c r="M10" s="3">
        <v>68</v>
      </c>
      <c r="N10" s="3" t="s">
        <v>1960</v>
      </c>
      <c r="O10" s="3">
        <v>78</v>
      </c>
      <c r="P10" s="3" t="s">
        <v>3902</v>
      </c>
    </row>
    <row r="11" spans="1:16">
      <c r="A11" s="3">
        <v>9</v>
      </c>
      <c r="B11" s="3" t="s">
        <v>2168</v>
      </c>
      <c r="C11" s="3">
        <v>19</v>
      </c>
      <c r="D11" s="3" t="s">
        <v>2169</v>
      </c>
      <c r="E11" s="3">
        <v>29</v>
      </c>
      <c r="F11" s="3" t="s">
        <v>1935</v>
      </c>
      <c r="G11" s="3">
        <v>39</v>
      </c>
      <c r="H11" s="3" t="s">
        <v>1942</v>
      </c>
      <c r="I11" s="3">
        <v>49</v>
      </c>
      <c r="J11" s="3" t="s">
        <v>1949</v>
      </c>
      <c r="K11" s="3">
        <v>59</v>
      </c>
      <c r="L11" s="3" t="s">
        <v>3978</v>
      </c>
      <c r="M11" s="3">
        <v>69</v>
      </c>
      <c r="N11" s="3" t="s">
        <v>1961</v>
      </c>
      <c r="O11" s="3">
        <v>79</v>
      </c>
      <c r="P11" s="3" t="s">
        <v>1966</v>
      </c>
    </row>
    <row r="12" spans="1:16">
      <c r="A12" s="3">
        <v>10</v>
      </c>
      <c r="B12" s="3" t="s">
        <v>2170</v>
      </c>
      <c r="C12" s="3">
        <v>20</v>
      </c>
      <c r="D12" s="3" t="s">
        <v>2171</v>
      </c>
      <c r="E12" s="3">
        <v>30</v>
      </c>
      <c r="F12" s="3" t="s">
        <v>1936</v>
      </c>
      <c r="G12" s="3">
        <v>40</v>
      </c>
      <c r="H12" s="3" t="s">
        <v>1943</v>
      </c>
      <c r="I12" s="3">
        <v>50</v>
      </c>
      <c r="J12" s="3" t="s">
        <v>1950</v>
      </c>
      <c r="K12" s="3">
        <v>60</v>
      </c>
      <c r="L12" s="3" t="s">
        <v>1955</v>
      </c>
      <c r="M12" s="3">
        <v>70</v>
      </c>
      <c r="N12" s="3" t="s">
        <v>1962</v>
      </c>
      <c r="O12" s="3">
        <v>80</v>
      </c>
      <c r="P12" s="3" t="s">
        <v>1967</v>
      </c>
    </row>
    <row r="14" spans="1:16">
      <c r="A14" s="3">
        <v>81</v>
      </c>
      <c r="B14" s="3" t="s">
        <v>1968</v>
      </c>
      <c r="C14" s="3">
        <v>91</v>
      </c>
      <c r="D14" s="3" t="s">
        <v>1975</v>
      </c>
      <c r="E14" s="3">
        <v>101</v>
      </c>
      <c r="F14" s="3" t="s">
        <v>3996</v>
      </c>
      <c r="G14" s="3">
        <v>111</v>
      </c>
      <c r="H14" s="3" t="s">
        <v>1981</v>
      </c>
      <c r="I14" s="3">
        <v>121</v>
      </c>
      <c r="J14" s="3" t="s">
        <v>1623</v>
      </c>
      <c r="K14" s="3">
        <v>131</v>
      </c>
      <c r="L14" s="3" t="s">
        <v>3905</v>
      </c>
      <c r="M14" s="3">
        <v>141</v>
      </c>
      <c r="N14" s="3" t="s">
        <v>3974</v>
      </c>
      <c r="O14" s="3">
        <v>151</v>
      </c>
      <c r="P14" s="3" t="s">
        <v>4008</v>
      </c>
    </row>
    <row r="15" spans="1:16">
      <c r="A15" s="3">
        <v>82</v>
      </c>
      <c r="B15" s="3" t="s">
        <v>1969</v>
      </c>
      <c r="C15" s="3">
        <v>92</v>
      </c>
      <c r="D15" s="3" t="s">
        <v>3992</v>
      </c>
      <c r="E15" s="3">
        <v>102</v>
      </c>
      <c r="F15" s="3" t="s">
        <v>1977</v>
      </c>
      <c r="G15" s="3">
        <v>112</v>
      </c>
      <c r="H15" s="3" t="s">
        <v>3904</v>
      </c>
      <c r="I15" s="3">
        <v>122</v>
      </c>
      <c r="J15" s="3" t="s">
        <v>1983</v>
      </c>
      <c r="K15" s="3">
        <v>132</v>
      </c>
      <c r="L15" s="3" t="s">
        <v>1985</v>
      </c>
      <c r="M15" s="3">
        <v>142</v>
      </c>
      <c r="N15" s="3" t="s">
        <v>1991</v>
      </c>
      <c r="O15" s="3">
        <v>152</v>
      </c>
      <c r="P15" s="3" t="s">
        <v>1994</v>
      </c>
    </row>
    <row r="16" spans="1:16">
      <c r="A16" s="3">
        <v>83</v>
      </c>
      <c r="B16" s="3" t="s">
        <v>1970</v>
      </c>
      <c r="C16" s="3">
        <v>93</v>
      </c>
      <c r="D16" s="3" t="s">
        <v>3885</v>
      </c>
      <c r="E16" s="3">
        <v>103</v>
      </c>
      <c r="F16" s="3" t="s">
        <v>1978</v>
      </c>
      <c r="G16" s="3">
        <v>113</v>
      </c>
      <c r="H16" s="3" t="s">
        <v>3893</v>
      </c>
      <c r="I16" s="3">
        <v>123</v>
      </c>
      <c r="J16" s="3" t="s">
        <v>3985</v>
      </c>
      <c r="K16" s="3">
        <v>133</v>
      </c>
      <c r="L16" s="3" t="s">
        <v>4004</v>
      </c>
      <c r="M16" s="3">
        <v>143</v>
      </c>
      <c r="N16" s="3" t="s">
        <v>1992</v>
      </c>
      <c r="O16" s="3">
        <v>153</v>
      </c>
      <c r="P16" s="3" t="s">
        <v>4009</v>
      </c>
    </row>
    <row r="17" spans="1:16">
      <c r="A17" s="3">
        <v>84</v>
      </c>
      <c r="B17" s="3" t="s">
        <v>100</v>
      </c>
      <c r="C17" s="3">
        <v>94</v>
      </c>
      <c r="D17" s="3" t="s">
        <v>4002</v>
      </c>
      <c r="E17" s="3">
        <v>104</v>
      </c>
      <c r="F17" s="3" t="s">
        <v>1979</v>
      </c>
      <c r="G17" s="3">
        <v>114</v>
      </c>
      <c r="H17" s="3" t="s">
        <v>1982</v>
      </c>
      <c r="I17" s="3">
        <v>124</v>
      </c>
      <c r="J17" s="3" t="s">
        <v>1668</v>
      </c>
      <c r="K17" s="3">
        <v>134</v>
      </c>
      <c r="L17" s="3" t="s">
        <v>1986</v>
      </c>
      <c r="M17" s="3">
        <v>144</v>
      </c>
      <c r="N17" s="3" t="s">
        <v>4013</v>
      </c>
      <c r="O17" s="3">
        <v>154</v>
      </c>
      <c r="P17" s="3" t="s">
        <v>1995</v>
      </c>
    </row>
    <row r="18" spans="1:16">
      <c r="A18" s="3">
        <v>85</v>
      </c>
      <c r="B18" s="3" t="s">
        <v>1971</v>
      </c>
      <c r="C18" s="3">
        <v>95</v>
      </c>
      <c r="D18" s="3" t="s">
        <v>3875</v>
      </c>
      <c r="E18" s="3">
        <v>105</v>
      </c>
      <c r="F18" s="3" t="s">
        <v>3895</v>
      </c>
      <c r="G18" s="3">
        <v>115</v>
      </c>
      <c r="H18" s="3" t="s">
        <v>3803</v>
      </c>
      <c r="I18" s="3">
        <v>125</v>
      </c>
      <c r="J18" s="3" t="s">
        <v>717</v>
      </c>
      <c r="K18" s="3">
        <v>135</v>
      </c>
      <c r="L18" s="3" t="s">
        <v>718</v>
      </c>
      <c r="M18" s="3">
        <v>145</v>
      </c>
      <c r="N18" s="3" t="s">
        <v>719</v>
      </c>
      <c r="O18" s="3">
        <v>155</v>
      </c>
      <c r="P18" s="3" t="s">
        <v>720</v>
      </c>
    </row>
    <row r="19" spans="1:16">
      <c r="A19" s="3">
        <v>86</v>
      </c>
      <c r="B19" s="3" t="s">
        <v>709</v>
      </c>
      <c r="C19" s="3">
        <v>96</v>
      </c>
      <c r="D19" s="3" t="s">
        <v>710</v>
      </c>
      <c r="E19" s="3">
        <v>106</v>
      </c>
      <c r="F19" s="3" t="s">
        <v>711</v>
      </c>
      <c r="G19" s="3">
        <v>116</v>
      </c>
      <c r="H19" s="3" t="s">
        <v>501</v>
      </c>
      <c r="I19" s="3">
        <v>126</v>
      </c>
      <c r="J19" s="3" t="s">
        <v>723</v>
      </c>
      <c r="K19" s="3">
        <v>136</v>
      </c>
      <c r="L19" s="3" t="s">
        <v>724</v>
      </c>
      <c r="M19" s="3">
        <v>146</v>
      </c>
      <c r="N19" s="3" t="s">
        <v>725</v>
      </c>
      <c r="O19" s="3">
        <v>156</v>
      </c>
      <c r="P19" s="3" t="s">
        <v>726</v>
      </c>
    </row>
    <row r="20" spans="1:16">
      <c r="A20" s="3">
        <v>87</v>
      </c>
      <c r="B20" s="3" t="s">
        <v>714</v>
      </c>
      <c r="C20" s="3">
        <v>97</v>
      </c>
      <c r="D20" s="3" t="s">
        <v>715</v>
      </c>
      <c r="E20" s="3">
        <v>107</v>
      </c>
      <c r="F20" s="3" t="s">
        <v>476</v>
      </c>
      <c r="G20" s="3">
        <v>117</v>
      </c>
      <c r="H20" s="3" t="s">
        <v>716</v>
      </c>
      <c r="I20" s="3">
        <v>127</v>
      </c>
      <c r="J20" s="3" t="s">
        <v>3993</v>
      </c>
      <c r="K20" s="3">
        <v>137</v>
      </c>
      <c r="L20" s="3" t="s">
        <v>1987</v>
      </c>
      <c r="M20" s="3">
        <v>147</v>
      </c>
      <c r="N20" s="3" t="s">
        <v>3799</v>
      </c>
      <c r="O20" s="3">
        <v>157</v>
      </c>
      <c r="P20" s="3" t="s">
        <v>1996</v>
      </c>
    </row>
    <row r="21" spans="1:16">
      <c r="A21" s="3">
        <v>88</v>
      </c>
      <c r="B21" s="3" t="s">
        <v>1972</v>
      </c>
      <c r="C21" s="3">
        <v>98</v>
      </c>
      <c r="D21" s="3" t="s">
        <v>1976</v>
      </c>
      <c r="E21" s="3">
        <v>108</v>
      </c>
      <c r="F21" s="3" t="s">
        <v>1980</v>
      </c>
      <c r="G21" s="3">
        <v>118</v>
      </c>
      <c r="H21" s="3" t="s">
        <v>3863</v>
      </c>
      <c r="I21" s="3">
        <v>128</v>
      </c>
      <c r="J21" s="3" t="s">
        <v>3903</v>
      </c>
      <c r="K21" s="3">
        <v>138</v>
      </c>
      <c r="L21" s="3" t="s">
        <v>1988</v>
      </c>
      <c r="M21" s="3">
        <v>148</v>
      </c>
      <c r="N21" s="3" t="s">
        <v>1993</v>
      </c>
      <c r="O21" s="3">
        <v>158</v>
      </c>
      <c r="P21" s="3" t="s">
        <v>1997</v>
      </c>
    </row>
    <row r="22" spans="1:16">
      <c r="A22" s="3">
        <v>89</v>
      </c>
      <c r="B22" s="3" t="s">
        <v>1973</v>
      </c>
      <c r="C22" s="3">
        <v>99</v>
      </c>
      <c r="D22" s="3" t="s">
        <v>3975</v>
      </c>
      <c r="E22" s="3">
        <v>109</v>
      </c>
      <c r="F22" s="3" t="s">
        <v>3880</v>
      </c>
      <c r="G22" s="3">
        <v>119</v>
      </c>
      <c r="H22" s="3" t="s">
        <v>3995</v>
      </c>
      <c r="I22" s="3">
        <v>129</v>
      </c>
      <c r="J22" s="3" t="s">
        <v>1984</v>
      </c>
      <c r="K22" s="3">
        <v>139</v>
      </c>
      <c r="L22" s="3" t="s">
        <v>1989</v>
      </c>
      <c r="M22" s="3">
        <v>149</v>
      </c>
      <c r="N22" s="3" t="s">
        <v>4017</v>
      </c>
      <c r="O22" s="3">
        <v>159</v>
      </c>
      <c r="P22" s="3" t="s">
        <v>4021</v>
      </c>
    </row>
    <row r="23" spans="1:16">
      <c r="A23" s="3">
        <v>90</v>
      </c>
      <c r="B23" s="3" t="s">
        <v>1974</v>
      </c>
      <c r="C23" s="3">
        <v>100</v>
      </c>
      <c r="D23" s="3" t="s">
        <v>4001</v>
      </c>
      <c r="E23" s="3">
        <v>110</v>
      </c>
      <c r="F23" s="3" t="s">
        <v>3997</v>
      </c>
      <c r="G23" s="3">
        <v>120</v>
      </c>
      <c r="H23" s="3" t="s">
        <v>3889</v>
      </c>
      <c r="I23" s="3">
        <v>130</v>
      </c>
      <c r="J23" s="3" t="s">
        <v>3981</v>
      </c>
      <c r="K23" s="3">
        <v>140</v>
      </c>
      <c r="L23" s="3" t="s">
        <v>1990</v>
      </c>
      <c r="M23" s="3">
        <v>150</v>
      </c>
      <c r="N23" s="3" t="s">
        <v>4018</v>
      </c>
      <c r="O23" s="3">
        <v>160</v>
      </c>
      <c r="P23" s="3" t="s">
        <v>1998</v>
      </c>
    </row>
    <row r="25" spans="1:16">
      <c r="A25" s="3">
        <v>161</v>
      </c>
      <c r="B25" s="3" t="s">
        <v>1999</v>
      </c>
      <c r="C25" s="3">
        <v>171</v>
      </c>
      <c r="D25" s="3" t="s">
        <v>2004</v>
      </c>
      <c r="E25" s="3">
        <v>181</v>
      </c>
      <c r="F25" s="3" t="s">
        <v>4030</v>
      </c>
      <c r="G25" s="3">
        <v>191</v>
      </c>
      <c r="H25" s="3" t="s">
        <v>2011</v>
      </c>
      <c r="I25" s="3">
        <v>201</v>
      </c>
      <c r="J25" s="3" t="s">
        <v>4016</v>
      </c>
      <c r="K25" s="3">
        <v>211</v>
      </c>
      <c r="L25" s="3" t="s">
        <v>4029</v>
      </c>
      <c r="M25" s="3">
        <v>221</v>
      </c>
      <c r="N25" s="3" t="s">
        <v>2018</v>
      </c>
      <c r="O25" s="3">
        <v>231</v>
      </c>
      <c r="P25" s="3" t="s">
        <v>26</v>
      </c>
    </row>
    <row r="26" spans="1:16">
      <c r="A26" s="3">
        <v>162</v>
      </c>
      <c r="B26" s="3" t="s">
        <v>4022</v>
      </c>
      <c r="C26" s="3">
        <v>172</v>
      </c>
      <c r="D26" s="3" t="s">
        <v>4052</v>
      </c>
      <c r="E26" s="3">
        <v>182</v>
      </c>
      <c r="F26" s="3" t="s">
        <v>2008</v>
      </c>
      <c r="G26" s="3">
        <v>192</v>
      </c>
      <c r="H26" s="3" t="s">
        <v>2012</v>
      </c>
      <c r="I26" s="3">
        <v>202</v>
      </c>
      <c r="J26" s="3" t="s">
        <v>3797</v>
      </c>
      <c r="K26" s="3">
        <v>212</v>
      </c>
      <c r="L26" s="3" t="s">
        <v>3848</v>
      </c>
      <c r="M26" s="3">
        <v>222</v>
      </c>
      <c r="N26" s="3" t="s">
        <v>4044</v>
      </c>
      <c r="O26" s="3">
        <v>232</v>
      </c>
      <c r="P26" s="3" t="s">
        <v>2022</v>
      </c>
    </row>
    <row r="27" spans="1:16">
      <c r="A27" s="3">
        <v>163</v>
      </c>
      <c r="B27" s="3" t="s">
        <v>2000</v>
      </c>
      <c r="C27" s="3">
        <v>173</v>
      </c>
      <c r="D27" s="3" t="s">
        <v>4053</v>
      </c>
      <c r="E27" s="3">
        <v>183</v>
      </c>
      <c r="F27" s="3" t="s">
        <v>2935</v>
      </c>
      <c r="G27" s="3">
        <v>193</v>
      </c>
      <c r="H27" s="3" t="s">
        <v>3901</v>
      </c>
      <c r="I27" s="3">
        <v>203</v>
      </c>
      <c r="J27" s="3" t="s">
        <v>3833</v>
      </c>
      <c r="K27" s="3">
        <v>213</v>
      </c>
      <c r="L27" s="3" t="s">
        <v>2016</v>
      </c>
      <c r="M27" s="3">
        <v>223</v>
      </c>
      <c r="N27" s="3" t="s">
        <v>4055</v>
      </c>
      <c r="O27" s="3">
        <v>233</v>
      </c>
      <c r="P27" s="3" t="s">
        <v>2023</v>
      </c>
    </row>
    <row r="28" spans="1:16">
      <c r="A28" s="3">
        <v>164</v>
      </c>
      <c r="B28" s="3" t="s">
        <v>2001</v>
      </c>
      <c r="C28" s="3">
        <v>174</v>
      </c>
      <c r="D28" s="3" t="s">
        <v>2005</v>
      </c>
      <c r="E28" s="3">
        <v>184</v>
      </c>
      <c r="F28" s="3" t="s">
        <v>729</v>
      </c>
      <c r="G28" s="3">
        <v>194</v>
      </c>
      <c r="H28" s="3" t="s">
        <v>730</v>
      </c>
      <c r="I28" s="3">
        <v>204</v>
      </c>
      <c r="J28" s="3" t="s">
        <v>731</v>
      </c>
      <c r="K28" s="3">
        <v>214</v>
      </c>
      <c r="L28" s="3" t="s">
        <v>732</v>
      </c>
      <c r="M28" s="3">
        <v>224</v>
      </c>
      <c r="N28" s="3" t="s">
        <v>733</v>
      </c>
      <c r="O28" s="3">
        <v>234</v>
      </c>
      <c r="P28" s="3" t="s">
        <v>734</v>
      </c>
    </row>
    <row r="29" spans="1:16">
      <c r="A29" s="3">
        <v>165</v>
      </c>
      <c r="B29" s="3" t="s">
        <v>721</v>
      </c>
      <c r="C29" s="3">
        <v>175</v>
      </c>
      <c r="D29" s="3" t="s">
        <v>722</v>
      </c>
      <c r="E29" s="3">
        <v>185</v>
      </c>
      <c r="F29" s="3" t="s">
        <v>735</v>
      </c>
      <c r="G29" s="3">
        <v>195</v>
      </c>
      <c r="H29" s="3" t="s">
        <v>736</v>
      </c>
      <c r="I29" s="3">
        <v>205</v>
      </c>
      <c r="J29" s="3" t="s">
        <v>737</v>
      </c>
      <c r="K29" s="3">
        <v>215</v>
      </c>
      <c r="L29" s="3" t="s">
        <v>738</v>
      </c>
      <c r="M29" s="3">
        <v>225</v>
      </c>
      <c r="N29" s="3" t="s">
        <v>739</v>
      </c>
      <c r="O29" s="3">
        <v>235</v>
      </c>
      <c r="P29" s="3" t="s">
        <v>740</v>
      </c>
    </row>
    <row r="30" spans="1:16">
      <c r="A30" s="3">
        <v>166</v>
      </c>
      <c r="B30" s="3" t="s">
        <v>727</v>
      </c>
      <c r="C30" s="3">
        <v>176</v>
      </c>
      <c r="D30" s="3" t="s">
        <v>728</v>
      </c>
      <c r="E30" s="3">
        <v>186</v>
      </c>
      <c r="F30" s="3" t="s">
        <v>2009</v>
      </c>
      <c r="G30" s="3">
        <v>196</v>
      </c>
      <c r="H30" s="3" t="s">
        <v>3982</v>
      </c>
      <c r="I30" s="3">
        <v>206</v>
      </c>
      <c r="J30" s="3" t="s">
        <v>3852</v>
      </c>
      <c r="K30" s="3">
        <v>216</v>
      </c>
      <c r="L30" s="3" t="s">
        <v>4041</v>
      </c>
      <c r="M30" s="3">
        <v>226</v>
      </c>
      <c r="N30" s="3" t="s">
        <v>4054</v>
      </c>
      <c r="O30" s="3">
        <v>236</v>
      </c>
      <c r="P30" s="3" t="s">
        <v>23</v>
      </c>
    </row>
    <row r="31" spans="1:16">
      <c r="A31" s="3">
        <v>167</v>
      </c>
      <c r="B31" s="3" t="s">
        <v>2002</v>
      </c>
      <c r="C31" s="3">
        <v>177</v>
      </c>
      <c r="D31" s="3" t="s">
        <v>4059</v>
      </c>
      <c r="E31" s="3">
        <v>187</v>
      </c>
      <c r="F31" s="3" t="s">
        <v>3994</v>
      </c>
      <c r="G31" s="3">
        <v>197</v>
      </c>
      <c r="H31" s="3" t="s">
        <v>4015</v>
      </c>
      <c r="I31" s="3">
        <v>207</v>
      </c>
      <c r="J31" s="3" t="s">
        <v>3857</v>
      </c>
      <c r="K31" s="3">
        <v>217</v>
      </c>
      <c r="L31" s="3" t="s">
        <v>2017</v>
      </c>
      <c r="M31" s="3">
        <v>227</v>
      </c>
      <c r="N31" s="3" t="s">
        <v>4058</v>
      </c>
      <c r="O31" s="3">
        <v>237</v>
      </c>
      <c r="P31" s="3" t="s">
        <v>2024</v>
      </c>
    </row>
    <row r="32" spans="1:16">
      <c r="A32" s="3">
        <v>168</v>
      </c>
      <c r="B32" s="3" t="s">
        <v>4043</v>
      </c>
      <c r="C32" s="3">
        <v>178</v>
      </c>
      <c r="D32" s="3" t="s">
        <v>2006</v>
      </c>
      <c r="E32" s="3">
        <v>188</v>
      </c>
      <c r="F32" s="3" t="s">
        <v>3796</v>
      </c>
      <c r="G32" s="3">
        <v>198</v>
      </c>
      <c r="H32" s="3" t="s">
        <v>2013</v>
      </c>
      <c r="I32" s="3">
        <v>208</v>
      </c>
      <c r="J32" s="3" t="s">
        <v>3804</v>
      </c>
      <c r="K32" s="3">
        <v>218</v>
      </c>
      <c r="L32" s="3" t="s">
        <v>4040</v>
      </c>
      <c r="M32" s="3">
        <v>228</v>
      </c>
      <c r="N32" s="3" t="s">
        <v>2019</v>
      </c>
      <c r="O32" s="3">
        <v>238</v>
      </c>
      <c r="P32" s="3" t="s">
        <v>2025</v>
      </c>
    </row>
    <row r="33" spans="1:16">
      <c r="A33" s="3">
        <v>169</v>
      </c>
      <c r="B33" s="3" t="s">
        <v>3801</v>
      </c>
      <c r="C33" s="3">
        <v>179</v>
      </c>
      <c r="D33" s="3" t="s">
        <v>4028</v>
      </c>
      <c r="E33" s="3">
        <v>189</v>
      </c>
      <c r="F33" s="3" t="s">
        <v>3977</v>
      </c>
      <c r="G33" s="3">
        <v>199</v>
      </c>
      <c r="H33" s="3" t="s">
        <v>2014</v>
      </c>
      <c r="I33" s="3">
        <v>209</v>
      </c>
      <c r="J33" s="3" t="s">
        <v>3843</v>
      </c>
      <c r="K33" s="3">
        <v>219</v>
      </c>
      <c r="L33" s="3" t="s">
        <v>4042</v>
      </c>
      <c r="M33" s="3">
        <v>229</v>
      </c>
      <c r="N33" s="3" t="s">
        <v>2020</v>
      </c>
      <c r="O33" s="3">
        <v>239</v>
      </c>
      <c r="P33" s="3" t="s">
        <v>2026</v>
      </c>
    </row>
    <row r="34" spans="1:16">
      <c r="A34" s="3">
        <v>170</v>
      </c>
      <c r="B34" s="3" t="s">
        <v>2003</v>
      </c>
      <c r="C34" s="3">
        <v>180</v>
      </c>
      <c r="D34" s="3" t="s">
        <v>2007</v>
      </c>
      <c r="E34" s="3">
        <v>190</v>
      </c>
      <c r="F34" s="3" t="s">
        <v>2010</v>
      </c>
      <c r="G34" s="3">
        <v>200</v>
      </c>
      <c r="H34" s="3" t="s">
        <v>2015</v>
      </c>
      <c r="I34" s="3">
        <v>210</v>
      </c>
      <c r="J34" s="3" t="s">
        <v>4051</v>
      </c>
      <c r="K34" s="3">
        <v>220</v>
      </c>
      <c r="L34" s="3" t="s">
        <v>14</v>
      </c>
      <c r="M34" s="3">
        <v>230</v>
      </c>
      <c r="N34" s="3" t="s">
        <v>2021</v>
      </c>
      <c r="O34" s="3">
        <v>240</v>
      </c>
      <c r="P34" s="3" t="s">
        <v>2027</v>
      </c>
    </row>
    <row r="36" spans="1:16">
      <c r="A36" s="3">
        <v>251</v>
      </c>
      <c r="B36" s="3" t="s">
        <v>2028</v>
      </c>
      <c r="C36" s="3">
        <v>261</v>
      </c>
      <c r="D36" s="3" t="s">
        <v>3860</v>
      </c>
      <c r="E36" s="3">
        <v>271</v>
      </c>
      <c r="F36" s="3" t="s">
        <v>2036</v>
      </c>
      <c r="G36" s="3">
        <v>281</v>
      </c>
      <c r="H36" s="3" t="s">
        <v>2043</v>
      </c>
      <c r="I36" s="3">
        <v>291</v>
      </c>
      <c r="J36" s="3" t="s">
        <v>2051</v>
      </c>
      <c r="K36" s="3">
        <v>301</v>
      </c>
      <c r="L36" s="3" t="s">
        <v>2059</v>
      </c>
      <c r="M36" s="3">
        <v>311</v>
      </c>
      <c r="N36" s="3" t="s">
        <v>2067</v>
      </c>
      <c r="O36" s="3">
        <v>321</v>
      </c>
      <c r="P36" s="3" t="s">
        <v>2074</v>
      </c>
    </row>
    <row r="37" spans="1:16">
      <c r="A37" s="3">
        <v>252</v>
      </c>
      <c r="B37" s="3" t="s">
        <v>2029</v>
      </c>
      <c r="C37" s="3">
        <v>262</v>
      </c>
      <c r="D37" s="3" t="s">
        <v>2034</v>
      </c>
      <c r="E37" s="3">
        <v>272</v>
      </c>
      <c r="F37" s="3" t="s">
        <v>2037</v>
      </c>
      <c r="G37" s="3">
        <v>282</v>
      </c>
      <c r="H37" s="3" t="s">
        <v>2044</v>
      </c>
      <c r="I37" s="3">
        <v>292</v>
      </c>
      <c r="J37" s="3" t="s">
        <v>2052</v>
      </c>
      <c r="K37" s="3">
        <v>302</v>
      </c>
      <c r="L37" s="3" t="s">
        <v>751</v>
      </c>
      <c r="M37" s="3">
        <v>312</v>
      </c>
      <c r="N37" s="3" t="s">
        <v>752</v>
      </c>
      <c r="O37" s="3">
        <v>322</v>
      </c>
      <c r="P37" s="3" t="s">
        <v>753</v>
      </c>
    </row>
    <row r="38" spans="1:16">
      <c r="A38" s="3">
        <v>253</v>
      </c>
      <c r="B38" s="3" t="s">
        <v>741</v>
      </c>
      <c r="C38" s="3">
        <v>263</v>
      </c>
      <c r="D38" s="3" t="s">
        <v>742</v>
      </c>
      <c r="E38" s="3">
        <v>273</v>
      </c>
      <c r="F38" s="3" t="s">
        <v>743</v>
      </c>
      <c r="G38" s="3">
        <v>283</v>
      </c>
      <c r="H38" s="3" t="s">
        <v>744</v>
      </c>
      <c r="I38" s="3">
        <v>293</v>
      </c>
      <c r="J38" s="3" t="s">
        <v>745</v>
      </c>
      <c r="K38" s="3">
        <v>303</v>
      </c>
      <c r="L38" s="3" t="s">
        <v>756</v>
      </c>
      <c r="M38" s="3">
        <v>313</v>
      </c>
      <c r="N38" s="3" t="s">
        <v>757</v>
      </c>
      <c r="O38" s="3">
        <v>323</v>
      </c>
      <c r="P38" s="3" t="s">
        <v>758</v>
      </c>
    </row>
    <row r="39" spans="1:16">
      <c r="A39" s="3">
        <v>254</v>
      </c>
      <c r="B39" s="3" t="s">
        <v>746</v>
      </c>
      <c r="C39" s="3">
        <v>264</v>
      </c>
      <c r="D39" s="3" t="s">
        <v>747</v>
      </c>
      <c r="E39" s="3">
        <v>274</v>
      </c>
      <c r="F39" s="3" t="s">
        <v>748</v>
      </c>
      <c r="G39" s="3">
        <v>284</v>
      </c>
      <c r="H39" s="3" t="s">
        <v>749</v>
      </c>
      <c r="I39" s="3">
        <v>294</v>
      </c>
      <c r="J39" s="3" t="s">
        <v>750</v>
      </c>
      <c r="K39" s="3">
        <v>304</v>
      </c>
      <c r="L39" s="3" t="s">
        <v>2060</v>
      </c>
      <c r="M39" s="3">
        <v>314</v>
      </c>
      <c r="N39" s="3" t="s">
        <v>2068</v>
      </c>
      <c r="O39" s="3">
        <v>324</v>
      </c>
      <c r="P39" s="3" t="s">
        <v>2075</v>
      </c>
    </row>
    <row r="40" spans="1:16">
      <c r="A40" s="3">
        <v>255</v>
      </c>
      <c r="B40" s="3" t="s">
        <v>2030</v>
      </c>
      <c r="C40" s="3">
        <v>265</v>
      </c>
      <c r="D40" s="3" t="s">
        <v>3844</v>
      </c>
      <c r="E40" s="3">
        <v>275</v>
      </c>
      <c r="F40" s="3" t="s">
        <v>3750</v>
      </c>
      <c r="G40" s="3">
        <v>285</v>
      </c>
      <c r="H40" s="3" t="s">
        <v>2045</v>
      </c>
      <c r="I40" s="3">
        <v>295</v>
      </c>
      <c r="J40" s="3" t="s">
        <v>2053</v>
      </c>
      <c r="K40" s="3">
        <v>305</v>
      </c>
      <c r="L40" s="3" t="s">
        <v>2061</v>
      </c>
      <c r="M40" s="3">
        <v>315</v>
      </c>
      <c r="N40" s="3" t="s">
        <v>2069</v>
      </c>
      <c r="O40" s="3">
        <v>325</v>
      </c>
      <c r="P40" s="3" t="s">
        <v>2076</v>
      </c>
    </row>
    <row r="41" spans="1:16">
      <c r="A41" s="3">
        <v>256</v>
      </c>
      <c r="B41" s="3" t="s">
        <v>2031</v>
      </c>
      <c r="C41" s="3">
        <v>266</v>
      </c>
      <c r="D41" s="3" t="s">
        <v>3906</v>
      </c>
      <c r="E41" s="3">
        <v>276</v>
      </c>
      <c r="F41" s="3" t="s">
        <v>2038</v>
      </c>
      <c r="G41" s="3">
        <v>286</v>
      </c>
      <c r="H41" s="3" t="s">
        <v>2046</v>
      </c>
      <c r="I41" s="3">
        <v>296</v>
      </c>
      <c r="J41" s="3" t="s">
        <v>2054</v>
      </c>
      <c r="K41" s="3">
        <v>306</v>
      </c>
      <c r="L41" s="3" t="s">
        <v>2062</v>
      </c>
      <c r="M41" s="3">
        <v>316</v>
      </c>
      <c r="N41" s="3" t="s">
        <v>2070</v>
      </c>
      <c r="O41" s="3">
        <v>326</v>
      </c>
      <c r="P41" s="3" t="s">
        <v>2077</v>
      </c>
    </row>
    <row r="42" spans="1:16">
      <c r="A42" s="3">
        <v>257</v>
      </c>
      <c r="B42" s="3" t="s">
        <v>3858</v>
      </c>
      <c r="C42" s="3">
        <v>267</v>
      </c>
      <c r="D42" s="3" t="s">
        <v>3907</v>
      </c>
      <c r="E42" s="3">
        <v>277</v>
      </c>
      <c r="F42" s="3" t="s">
        <v>2039</v>
      </c>
      <c r="G42" s="3">
        <v>287</v>
      </c>
      <c r="H42" s="3" t="s">
        <v>2047</v>
      </c>
      <c r="I42" s="3">
        <v>297</v>
      </c>
      <c r="J42" s="3" t="s">
        <v>2055</v>
      </c>
      <c r="K42" s="3">
        <v>307</v>
      </c>
      <c r="L42" s="3" t="s">
        <v>2063</v>
      </c>
      <c r="M42" s="3">
        <v>317</v>
      </c>
      <c r="N42" s="3" t="s">
        <v>2071</v>
      </c>
      <c r="O42" s="3">
        <v>327</v>
      </c>
      <c r="P42" s="3" t="s">
        <v>2078</v>
      </c>
    </row>
    <row r="43" spans="1:16">
      <c r="A43" s="3">
        <v>258</v>
      </c>
      <c r="B43" s="3" t="s">
        <v>3834</v>
      </c>
      <c r="C43" s="3">
        <v>268</v>
      </c>
      <c r="D43" s="3" t="s">
        <v>2035</v>
      </c>
      <c r="E43" s="3">
        <v>278</v>
      </c>
      <c r="F43" s="3" t="s">
        <v>2040</v>
      </c>
      <c r="G43" s="3">
        <v>288</v>
      </c>
      <c r="H43" s="3" t="s">
        <v>2048</v>
      </c>
      <c r="I43" s="3">
        <v>298</v>
      </c>
      <c r="J43" s="3" t="s">
        <v>2056</v>
      </c>
      <c r="K43" s="3">
        <v>308</v>
      </c>
      <c r="L43" s="3" t="s">
        <v>2064</v>
      </c>
      <c r="M43" s="3">
        <v>318</v>
      </c>
      <c r="N43" s="3" t="s">
        <v>438</v>
      </c>
      <c r="O43" s="3">
        <v>328</v>
      </c>
      <c r="P43" s="3" t="s">
        <v>2079</v>
      </c>
    </row>
    <row r="44" spans="1:16">
      <c r="A44" s="3">
        <v>259</v>
      </c>
      <c r="B44" s="3" t="s">
        <v>2032</v>
      </c>
      <c r="C44" s="3">
        <v>269</v>
      </c>
      <c r="D44" s="3" t="s">
        <v>3840</v>
      </c>
      <c r="E44" s="3">
        <v>279</v>
      </c>
      <c r="F44" s="3" t="s">
        <v>2041</v>
      </c>
      <c r="G44" s="3">
        <v>289</v>
      </c>
      <c r="H44" s="3" t="s">
        <v>2049</v>
      </c>
      <c r="I44" s="3">
        <v>299</v>
      </c>
      <c r="J44" s="3" t="s">
        <v>2057</v>
      </c>
      <c r="K44" s="3">
        <v>309</v>
      </c>
      <c r="L44" s="3" t="s">
        <v>2065</v>
      </c>
      <c r="M44" s="3">
        <v>319</v>
      </c>
      <c r="N44" s="3" t="s">
        <v>2072</v>
      </c>
      <c r="O44" s="3">
        <v>329</v>
      </c>
      <c r="P44" s="3" t="s">
        <v>2080</v>
      </c>
    </row>
    <row r="45" spans="1:16">
      <c r="A45" s="3">
        <v>260</v>
      </c>
      <c r="B45" s="3" t="s">
        <v>2033</v>
      </c>
      <c r="C45" s="3">
        <v>270</v>
      </c>
      <c r="D45" s="3" t="s">
        <v>3849</v>
      </c>
      <c r="E45" s="3">
        <v>280</v>
      </c>
      <c r="F45" s="3" t="s">
        <v>2042</v>
      </c>
      <c r="G45" s="3">
        <v>290</v>
      </c>
      <c r="H45" s="3" t="s">
        <v>2050</v>
      </c>
      <c r="I45" s="3">
        <v>300</v>
      </c>
      <c r="J45" s="3" t="s">
        <v>2058</v>
      </c>
      <c r="K45" s="3">
        <v>310</v>
      </c>
      <c r="L45" s="3" t="s">
        <v>2066</v>
      </c>
      <c r="M45" s="3">
        <v>320</v>
      </c>
      <c r="N45" s="3" t="s">
        <v>2073</v>
      </c>
      <c r="O45" s="3">
        <v>330</v>
      </c>
      <c r="P45" s="3" t="s">
        <v>2081</v>
      </c>
    </row>
    <row r="47" spans="1:16">
      <c r="A47" s="3">
        <v>341</v>
      </c>
      <c r="B47" s="3" t="s">
        <v>2082</v>
      </c>
      <c r="C47" s="3">
        <v>351</v>
      </c>
      <c r="D47" s="3" t="s">
        <v>2089</v>
      </c>
      <c r="E47" s="3">
        <v>361</v>
      </c>
      <c r="F47" s="3" t="s">
        <v>761</v>
      </c>
      <c r="G47" s="3">
        <v>371</v>
      </c>
      <c r="H47" s="3" t="s">
        <v>762</v>
      </c>
      <c r="I47" s="3">
        <v>381</v>
      </c>
      <c r="J47" s="3" t="s">
        <v>763</v>
      </c>
      <c r="K47" s="3">
        <v>391</v>
      </c>
      <c r="L47" s="3" t="s">
        <v>764</v>
      </c>
      <c r="M47" s="3">
        <v>401</v>
      </c>
      <c r="N47" s="3" t="s">
        <v>765</v>
      </c>
      <c r="O47" s="3">
        <v>411</v>
      </c>
      <c r="P47" s="3" t="s">
        <v>766</v>
      </c>
    </row>
    <row r="48" spans="1:16">
      <c r="A48" s="3">
        <v>342</v>
      </c>
      <c r="B48" s="3" t="s">
        <v>754</v>
      </c>
      <c r="C48" s="3">
        <v>352</v>
      </c>
      <c r="D48" s="3" t="s">
        <v>755</v>
      </c>
      <c r="E48" s="3">
        <v>362</v>
      </c>
      <c r="F48" s="3" t="s">
        <v>767</v>
      </c>
      <c r="G48" s="3">
        <v>372</v>
      </c>
      <c r="H48" s="3" t="s">
        <v>768</v>
      </c>
      <c r="I48" s="3">
        <v>382</v>
      </c>
      <c r="J48" s="3" t="s">
        <v>769</v>
      </c>
      <c r="K48" s="3">
        <v>392</v>
      </c>
      <c r="L48" s="3" t="s">
        <v>770</v>
      </c>
      <c r="M48" s="3">
        <v>402</v>
      </c>
      <c r="N48" s="3" t="s">
        <v>2172</v>
      </c>
      <c r="O48" s="3">
        <v>412</v>
      </c>
      <c r="P48" s="3" t="s">
        <v>771</v>
      </c>
    </row>
    <row r="49" spans="1:16">
      <c r="A49" s="3">
        <v>343</v>
      </c>
      <c r="B49" s="3" t="s">
        <v>759</v>
      </c>
      <c r="C49" s="3">
        <v>353</v>
      </c>
      <c r="D49" s="3" t="s">
        <v>760</v>
      </c>
      <c r="E49" s="3">
        <v>363</v>
      </c>
      <c r="F49" s="3" t="s">
        <v>2097</v>
      </c>
      <c r="G49" s="3">
        <v>373</v>
      </c>
      <c r="H49" s="3" t="s">
        <v>2105</v>
      </c>
      <c r="I49" s="3">
        <v>383</v>
      </c>
      <c r="J49" s="3" t="s">
        <v>2113</v>
      </c>
      <c r="K49" s="3">
        <v>393</v>
      </c>
      <c r="L49" s="3" t="s">
        <v>2121</v>
      </c>
      <c r="M49" s="3">
        <v>403</v>
      </c>
      <c r="N49" s="3" t="s">
        <v>3761</v>
      </c>
      <c r="O49" s="3">
        <v>413</v>
      </c>
      <c r="P49" s="3" t="s">
        <v>85</v>
      </c>
    </row>
    <row r="50" spans="1:16">
      <c r="A50" s="3">
        <v>344</v>
      </c>
      <c r="B50" s="3" t="s">
        <v>2083</v>
      </c>
      <c r="C50" s="3">
        <v>354</v>
      </c>
      <c r="D50" s="3" t="s">
        <v>2090</v>
      </c>
      <c r="E50" s="3">
        <v>364</v>
      </c>
      <c r="F50" s="3" t="s">
        <v>2098</v>
      </c>
      <c r="G50" s="3">
        <v>374</v>
      </c>
      <c r="H50" s="3" t="s">
        <v>2106</v>
      </c>
      <c r="I50" s="3">
        <v>384</v>
      </c>
      <c r="J50" s="3" t="s">
        <v>2114</v>
      </c>
      <c r="K50" s="3">
        <v>394</v>
      </c>
      <c r="L50" s="3" t="s">
        <v>88</v>
      </c>
      <c r="M50" s="3">
        <v>404</v>
      </c>
      <c r="N50" s="3" t="s">
        <v>2128</v>
      </c>
      <c r="O50" s="3">
        <v>414</v>
      </c>
      <c r="P50" s="3" t="s">
        <v>2129</v>
      </c>
    </row>
    <row r="51" spans="1:16">
      <c r="A51" s="3">
        <v>345</v>
      </c>
      <c r="B51" s="3" t="s">
        <v>2084</v>
      </c>
      <c r="C51" s="3">
        <v>355</v>
      </c>
      <c r="D51" s="3" t="s">
        <v>2091</v>
      </c>
      <c r="E51" s="3">
        <v>365</v>
      </c>
      <c r="F51" s="3" t="s">
        <v>2099</v>
      </c>
      <c r="G51" s="3">
        <v>375</v>
      </c>
      <c r="H51" s="3" t="s">
        <v>2107</v>
      </c>
      <c r="I51" s="3">
        <v>385</v>
      </c>
      <c r="J51" s="3" t="s">
        <v>2115</v>
      </c>
      <c r="K51" s="3">
        <v>395</v>
      </c>
      <c r="L51" s="3" t="s">
        <v>2122</v>
      </c>
      <c r="M51" s="3">
        <v>405</v>
      </c>
      <c r="N51" s="3" t="s">
        <v>3864</v>
      </c>
      <c r="O51" s="3">
        <v>415</v>
      </c>
      <c r="P51" s="3" t="s">
        <v>693</v>
      </c>
    </row>
    <row r="52" spans="1:16">
      <c r="A52" s="3">
        <v>346</v>
      </c>
      <c r="B52" s="3" t="s">
        <v>2085</v>
      </c>
      <c r="C52" s="3">
        <v>356</v>
      </c>
      <c r="D52" s="3" t="s">
        <v>2092</v>
      </c>
      <c r="E52" s="3">
        <v>366</v>
      </c>
      <c r="F52" s="3" t="s">
        <v>2100</v>
      </c>
      <c r="G52" s="3">
        <v>376</v>
      </c>
      <c r="H52" s="3" t="s">
        <v>2108</v>
      </c>
      <c r="I52" s="3">
        <v>386</v>
      </c>
      <c r="J52" s="3" t="s">
        <v>2116</v>
      </c>
      <c r="K52" s="3">
        <v>396</v>
      </c>
      <c r="L52" s="3" t="s">
        <v>2123</v>
      </c>
      <c r="M52" s="3">
        <v>406</v>
      </c>
      <c r="N52" s="3" t="s">
        <v>694</v>
      </c>
      <c r="O52" s="3">
        <v>416</v>
      </c>
      <c r="P52" s="3" t="s">
        <v>3957</v>
      </c>
    </row>
    <row r="53" spans="1:16">
      <c r="A53" s="3">
        <v>347</v>
      </c>
      <c r="B53" s="3" t="s">
        <v>2085</v>
      </c>
      <c r="C53" s="3">
        <v>357</v>
      </c>
      <c r="D53" s="3" t="s">
        <v>2093</v>
      </c>
      <c r="E53" s="3">
        <v>367</v>
      </c>
      <c r="F53" s="3" t="s">
        <v>2101</v>
      </c>
      <c r="G53" s="3">
        <v>377</v>
      </c>
      <c r="H53" s="3" t="s">
        <v>2109</v>
      </c>
      <c r="I53" s="3">
        <v>387</v>
      </c>
      <c r="J53" s="3" t="s">
        <v>2117</v>
      </c>
      <c r="K53" s="3">
        <v>397</v>
      </c>
      <c r="L53" s="3" t="s">
        <v>2124</v>
      </c>
      <c r="M53" s="3">
        <v>407</v>
      </c>
      <c r="N53" s="3" t="s">
        <v>3806</v>
      </c>
      <c r="O53" s="3">
        <v>417</v>
      </c>
      <c r="P53" s="3" t="s">
        <v>3808</v>
      </c>
    </row>
    <row r="54" spans="1:16">
      <c r="A54" s="3">
        <v>348</v>
      </c>
      <c r="B54" s="3" t="s">
        <v>2086</v>
      </c>
      <c r="C54" s="3">
        <v>358</v>
      </c>
      <c r="D54" s="3" t="s">
        <v>2094</v>
      </c>
      <c r="E54" s="3">
        <v>368</v>
      </c>
      <c r="F54" s="3" t="s">
        <v>2102</v>
      </c>
      <c r="G54" s="3">
        <v>378</v>
      </c>
      <c r="H54" s="3" t="s">
        <v>2110</v>
      </c>
      <c r="I54" s="3">
        <v>388</v>
      </c>
      <c r="J54" s="3" t="s">
        <v>2118</v>
      </c>
      <c r="K54" s="3">
        <v>398</v>
      </c>
      <c r="L54" s="3" t="s">
        <v>2125</v>
      </c>
      <c r="M54" s="3">
        <v>408</v>
      </c>
      <c r="N54" s="3" t="s">
        <v>3748</v>
      </c>
      <c r="O54" s="3">
        <v>418</v>
      </c>
      <c r="P54" s="3" t="s">
        <v>2130</v>
      </c>
    </row>
    <row r="55" spans="1:16">
      <c r="A55" s="3">
        <v>349</v>
      </c>
      <c r="B55" s="3" t="s">
        <v>2087</v>
      </c>
      <c r="C55" s="3">
        <v>359</v>
      </c>
      <c r="D55" s="3" t="s">
        <v>2095</v>
      </c>
      <c r="E55" s="3">
        <v>369</v>
      </c>
      <c r="F55" s="3" t="s">
        <v>2103</v>
      </c>
      <c r="G55" s="3">
        <v>379</v>
      </c>
      <c r="H55" s="3" t="s">
        <v>2111</v>
      </c>
      <c r="I55" s="3">
        <v>389</v>
      </c>
      <c r="J55" s="3" t="s">
        <v>2119</v>
      </c>
      <c r="K55" s="3">
        <v>399</v>
      </c>
      <c r="L55" s="3" t="s">
        <v>2126</v>
      </c>
      <c r="M55" s="3">
        <v>409</v>
      </c>
      <c r="N55" s="3" t="s">
        <v>3766</v>
      </c>
      <c r="O55" s="3">
        <v>419</v>
      </c>
      <c r="P55" s="3" t="s">
        <v>3774</v>
      </c>
    </row>
    <row r="56" spans="1:16">
      <c r="A56" s="3">
        <v>350</v>
      </c>
      <c r="B56" s="3" t="s">
        <v>2088</v>
      </c>
      <c r="C56" s="3">
        <v>360</v>
      </c>
      <c r="D56" s="3" t="s">
        <v>2096</v>
      </c>
      <c r="E56" s="3">
        <v>370</v>
      </c>
      <c r="F56" s="3" t="s">
        <v>2104</v>
      </c>
      <c r="G56" s="3">
        <v>380</v>
      </c>
      <c r="H56" s="3" t="s">
        <v>2112</v>
      </c>
      <c r="I56" s="3">
        <v>390</v>
      </c>
      <c r="J56" s="3" t="s">
        <v>2120</v>
      </c>
      <c r="K56" s="3">
        <v>400</v>
      </c>
      <c r="L56" s="3" t="s">
        <v>2127</v>
      </c>
      <c r="M56" s="3">
        <v>410</v>
      </c>
      <c r="N56" s="3" t="s">
        <v>3922</v>
      </c>
      <c r="O56" s="3">
        <v>420</v>
      </c>
      <c r="P56" s="3" t="s">
        <v>2131</v>
      </c>
    </row>
    <row r="58" spans="1:16">
      <c r="A58" s="3">
        <v>421</v>
      </c>
      <c r="B58" s="3" t="s">
        <v>772</v>
      </c>
      <c r="C58" s="3">
        <v>431</v>
      </c>
      <c r="D58" s="3" t="s">
        <v>773</v>
      </c>
      <c r="E58" s="3">
        <v>441</v>
      </c>
      <c r="F58" s="3" t="s">
        <v>774</v>
      </c>
      <c r="G58" s="3">
        <v>451</v>
      </c>
      <c r="H58" s="3" t="s">
        <v>775</v>
      </c>
      <c r="I58" s="3">
        <v>461</v>
      </c>
      <c r="J58" s="3"/>
      <c r="K58" s="3">
        <v>471</v>
      </c>
      <c r="L58" s="3" t="s">
        <v>776</v>
      </c>
      <c r="M58" s="3">
        <v>481</v>
      </c>
      <c r="N58" s="3" t="s">
        <v>3767</v>
      </c>
      <c r="O58" s="3">
        <v>491</v>
      </c>
      <c r="P58" s="3" t="s">
        <v>3814</v>
      </c>
    </row>
    <row r="59" spans="1:16">
      <c r="A59" s="3">
        <v>422</v>
      </c>
      <c r="B59" s="3" t="s">
        <v>3958</v>
      </c>
      <c r="C59" s="3">
        <v>432</v>
      </c>
      <c r="D59" s="3" t="s">
        <v>3876</v>
      </c>
      <c r="E59" s="3">
        <v>442</v>
      </c>
      <c r="F59" s="3" t="s">
        <v>2137</v>
      </c>
      <c r="G59" s="3">
        <v>452</v>
      </c>
      <c r="H59" s="3" t="s">
        <v>3896</v>
      </c>
      <c r="I59" s="3">
        <v>462</v>
      </c>
      <c r="J59" s="3" t="s">
        <v>3835</v>
      </c>
      <c r="K59" s="3">
        <v>472</v>
      </c>
      <c r="L59" s="3" t="s">
        <v>2145</v>
      </c>
      <c r="M59" s="3">
        <v>482</v>
      </c>
      <c r="N59" s="3" t="s">
        <v>3845</v>
      </c>
      <c r="O59" s="3">
        <v>492</v>
      </c>
      <c r="P59" s="3" t="s">
        <v>2148</v>
      </c>
    </row>
    <row r="60" spans="1:16">
      <c r="A60" s="3">
        <v>423</v>
      </c>
      <c r="B60" s="3" t="s">
        <v>3733</v>
      </c>
      <c r="C60" s="3">
        <v>433</v>
      </c>
      <c r="D60" s="3" t="s">
        <v>2135</v>
      </c>
      <c r="E60" s="3">
        <v>443</v>
      </c>
      <c r="F60" s="3" t="s">
        <v>3881</v>
      </c>
      <c r="G60" s="3">
        <v>453</v>
      </c>
      <c r="H60" s="3" t="s">
        <v>3934</v>
      </c>
      <c r="I60" s="3">
        <v>463</v>
      </c>
      <c r="J60" s="3" t="s">
        <v>3812</v>
      </c>
      <c r="K60" s="3">
        <v>473</v>
      </c>
      <c r="L60" s="3" t="s">
        <v>3914</v>
      </c>
      <c r="M60" s="3">
        <v>483</v>
      </c>
      <c r="N60" s="3" t="s">
        <v>3744</v>
      </c>
      <c r="O60" s="3">
        <v>493</v>
      </c>
      <c r="P60" s="3" t="s">
        <v>3916</v>
      </c>
    </row>
    <row r="61" spans="1:16">
      <c r="A61" s="3">
        <v>424</v>
      </c>
      <c r="B61" s="3" t="s">
        <v>3870</v>
      </c>
      <c r="C61" s="3">
        <v>434</v>
      </c>
      <c r="D61" s="3" t="s">
        <v>3959</v>
      </c>
      <c r="E61" s="3">
        <v>444</v>
      </c>
      <c r="F61" s="3" t="s">
        <v>2138</v>
      </c>
      <c r="G61" s="3">
        <v>454</v>
      </c>
      <c r="H61" s="3" t="s">
        <v>2142</v>
      </c>
      <c r="I61" s="3">
        <v>464</v>
      </c>
      <c r="J61" s="3" t="s">
        <v>1669</v>
      </c>
      <c r="K61" s="3">
        <v>474</v>
      </c>
      <c r="L61" s="3" t="s">
        <v>3961</v>
      </c>
      <c r="M61" s="3">
        <v>484</v>
      </c>
      <c r="N61" s="3" t="s">
        <v>2146</v>
      </c>
      <c r="O61" s="3">
        <v>494</v>
      </c>
      <c r="P61" s="3" t="s">
        <v>3850</v>
      </c>
    </row>
    <row r="62" spans="1:16">
      <c r="A62" s="3">
        <v>425</v>
      </c>
      <c r="B62" s="3" t="s">
        <v>3809</v>
      </c>
      <c r="C62" s="3">
        <v>435</v>
      </c>
      <c r="D62" s="3" t="s">
        <v>3939</v>
      </c>
      <c r="E62" s="3">
        <v>445</v>
      </c>
      <c r="F62" s="3" t="s">
        <v>2139</v>
      </c>
      <c r="G62" s="3">
        <v>455</v>
      </c>
      <c r="H62" s="3" t="s">
        <v>3900</v>
      </c>
      <c r="I62" s="3">
        <v>465</v>
      </c>
      <c r="J62" s="3" t="s">
        <v>3743</v>
      </c>
      <c r="K62" s="3">
        <v>475</v>
      </c>
      <c r="L62" s="3" t="s">
        <v>3813</v>
      </c>
      <c r="M62" s="3">
        <v>485</v>
      </c>
      <c r="N62" s="3" t="s">
        <v>3915</v>
      </c>
      <c r="O62" s="3">
        <v>495</v>
      </c>
      <c r="P62" s="3" t="s">
        <v>33</v>
      </c>
    </row>
    <row r="63" spans="1:16">
      <c r="A63" s="3">
        <v>426</v>
      </c>
      <c r="B63" s="3" t="s">
        <v>2132</v>
      </c>
      <c r="C63" s="3">
        <v>436</v>
      </c>
      <c r="D63" s="3" t="s">
        <v>3929</v>
      </c>
      <c r="E63" s="3">
        <v>446</v>
      </c>
      <c r="F63" s="3" t="s">
        <v>3083</v>
      </c>
      <c r="G63" s="3">
        <v>456</v>
      </c>
      <c r="H63" s="3" t="s">
        <v>2143</v>
      </c>
      <c r="I63" s="3">
        <v>466</v>
      </c>
      <c r="J63" s="3" t="s">
        <v>3891</v>
      </c>
      <c r="K63" s="3">
        <v>476</v>
      </c>
      <c r="L63" s="3" t="s">
        <v>3962</v>
      </c>
      <c r="M63" s="3">
        <v>486</v>
      </c>
      <c r="N63" s="3" t="s">
        <v>2147</v>
      </c>
      <c r="O63" s="3">
        <v>496</v>
      </c>
      <c r="P63" s="3" t="s">
        <v>3815</v>
      </c>
    </row>
    <row r="64" spans="1:16">
      <c r="A64" s="3">
        <v>427</v>
      </c>
      <c r="B64" s="3" t="s">
        <v>2133</v>
      </c>
      <c r="C64" s="3">
        <v>437</v>
      </c>
      <c r="D64" s="3" t="s">
        <v>3890</v>
      </c>
      <c r="E64" s="3">
        <v>447</v>
      </c>
      <c r="F64" s="3" t="s">
        <v>2140</v>
      </c>
      <c r="G64" s="3">
        <v>457</v>
      </c>
      <c r="H64" s="3" t="s">
        <v>2173</v>
      </c>
      <c r="I64" s="3">
        <v>467</v>
      </c>
      <c r="J64" s="3" t="s">
        <v>3913</v>
      </c>
      <c r="K64" s="3">
        <v>477</v>
      </c>
      <c r="L64" s="3" t="s">
        <v>1665</v>
      </c>
      <c r="M64" s="3">
        <v>487</v>
      </c>
      <c r="N64" s="3" t="s">
        <v>3924</v>
      </c>
      <c r="O64" s="3">
        <v>497</v>
      </c>
      <c r="P64" s="3"/>
    </row>
    <row r="65" spans="1:16">
      <c r="A65" s="3">
        <v>428</v>
      </c>
      <c r="B65" s="3" t="s">
        <v>2134</v>
      </c>
      <c r="C65" s="3">
        <v>438</v>
      </c>
      <c r="D65" s="3" t="s">
        <v>2136</v>
      </c>
      <c r="E65" s="3">
        <v>448</v>
      </c>
      <c r="F65" s="3" t="s">
        <v>2141</v>
      </c>
      <c r="G65" s="3">
        <v>458</v>
      </c>
      <c r="H65" s="3" t="s">
        <v>1664</v>
      </c>
      <c r="I65" s="3">
        <v>468</v>
      </c>
      <c r="J65" s="3" t="s">
        <v>3871</v>
      </c>
      <c r="K65" s="3">
        <v>478</v>
      </c>
      <c r="L65" s="3" t="s">
        <v>3841</v>
      </c>
      <c r="M65" s="3">
        <v>488</v>
      </c>
      <c r="N65" s="3"/>
      <c r="O65" s="3">
        <v>498</v>
      </c>
      <c r="P65" s="3" t="s">
        <v>3768</v>
      </c>
    </row>
    <row r="66" spans="1:16">
      <c r="A66" s="3">
        <v>429</v>
      </c>
      <c r="B66" s="3" t="s">
        <v>3742</v>
      </c>
      <c r="C66" s="3">
        <v>439</v>
      </c>
      <c r="D66" s="3" t="s">
        <v>3886</v>
      </c>
      <c r="E66" s="3">
        <v>449</v>
      </c>
      <c r="F66" s="3" t="s">
        <v>2174</v>
      </c>
      <c r="G66" s="3">
        <v>459</v>
      </c>
      <c r="H66" s="3" t="s">
        <v>2144</v>
      </c>
      <c r="I66" s="3">
        <v>469</v>
      </c>
      <c r="J66" s="3" t="s">
        <v>3919</v>
      </c>
      <c r="K66" s="3">
        <v>479</v>
      </c>
      <c r="L66" s="3"/>
      <c r="M66" s="3">
        <v>489</v>
      </c>
      <c r="N66" s="3" t="s">
        <v>782</v>
      </c>
      <c r="O66" s="3">
        <v>499</v>
      </c>
      <c r="P66" s="3" t="s">
        <v>783</v>
      </c>
    </row>
    <row r="67" spans="1:16">
      <c r="A67" s="3">
        <v>430</v>
      </c>
      <c r="B67" s="3" t="s">
        <v>777</v>
      </c>
      <c r="C67" s="3">
        <v>440</v>
      </c>
      <c r="D67" s="3" t="s">
        <v>778</v>
      </c>
      <c r="E67" s="3">
        <v>450</v>
      </c>
      <c r="F67" s="3" t="s">
        <v>779</v>
      </c>
      <c r="G67" s="3">
        <v>460</v>
      </c>
      <c r="H67" s="3" t="s">
        <v>780</v>
      </c>
      <c r="I67" s="3">
        <v>470</v>
      </c>
      <c r="J67" s="3"/>
      <c r="K67" s="3">
        <v>480</v>
      </c>
      <c r="L67" s="3" t="s">
        <v>781</v>
      </c>
      <c r="M67" s="3">
        <v>490</v>
      </c>
      <c r="N67" s="3" t="s">
        <v>786</v>
      </c>
      <c r="O67" s="3">
        <v>500</v>
      </c>
      <c r="P67" s="3" t="s">
        <v>3461</v>
      </c>
    </row>
    <row r="69" spans="1:16">
      <c r="A69" s="3">
        <v>501</v>
      </c>
      <c r="B69" s="3" t="s">
        <v>3942</v>
      </c>
      <c r="C69" s="3">
        <v>511</v>
      </c>
      <c r="D69" s="3" t="s">
        <v>3932</v>
      </c>
      <c r="E69" s="3">
        <v>521</v>
      </c>
      <c r="F69" s="3" t="s">
        <v>3769</v>
      </c>
      <c r="G69" s="3">
        <v>531</v>
      </c>
      <c r="H69" s="3"/>
      <c r="I69" s="3">
        <v>541</v>
      </c>
      <c r="J69" s="3"/>
      <c r="K69" s="3">
        <v>551</v>
      </c>
      <c r="L69" s="3"/>
      <c r="M69" s="3">
        <v>561</v>
      </c>
      <c r="N69" s="3" t="s">
        <v>2178</v>
      </c>
      <c r="O69" s="3">
        <v>571</v>
      </c>
      <c r="P69" s="3" t="s">
        <v>3818</v>
      </c>
    </row>
    <row r="70" spans="1:16">
      <c r="A70" s="3">
        <v>502</v>
      </c>
      <c r="B70" s="3" t="s">
        <v>3816</v>
      </c>
      <c r="C70" s="3">
        <v>512</v>
      </c>
      <c r="D70" s="3" t="s">
        <v>2149</v>
      </c>
      <c r="E70" s="3">
        <v>522</v>
      </c>
      <c r="F70" s="3" t="s">
        <v>1666</v>
      </c>
      <c r="G70" s="3">
        <v>532</v>
      </c>
      <c r="H70" s="3"/>
      <c r="I70" s="3">
        <v>542</v>
      </c>
      <c r="J70" s="3"/>
      <c r="K70" s="3">
        <v>552</v>
      </c>
      <c r="L70" s="3"/>
      <c r="M70" s="3">
        <v>562</v>
      </c>
      <c r="N70" s="3" t="s">
        <v>3955</v>
      </c>
      <c r="O70" s="3">
        <v>572</v>
      </c>
      <c r="P70" s="3" t="s">
        <v>2179</v>
      </c>
    </row>
    <row r="71" spans="1:16">
      <c r="A71" s="3">
        <v>503</v>
      </c>
      <c r="B71" s="3" t="s">
        <v>3898</v>
      </c>
      <c r="C71" s="3">
        <v>513</v>
      </c>
      <c r="D71" s="3" t="s">
        <v>3777</v>
      </c>
      <c r="E71" s="3">
        <v>523</v>
      </c>
      <c r="F71" s="3" t="s">
        <v>3817</v>
      </c>
      <c r="G71" s="3">
        <v>533</v>
      </c>
      <c r="H71" s="3"/>
      <c r="I71" s="3">
        <v>543</v>
      </c>
      <c r="J71" s="3"/>
      <c r="K71" s="3">
        <v>553</v>
      </c>
      <c r="L71" s="3"/>
      <c r="M71" s="3">
        <v>563</v>
      </c>
      <c r="N71" s="3" t="s">
        <v>2152</v>
      </c>
      <c r="O71" s="3">
        <v>573</v>
      </c>
      <c r="P71" s="3" t="s">
        <v>3946</v>
      </c>
    </row>
    <row r="72" spans="1:16">
      <c r="A72" s="3">
        <v>504</v>
      </c>
      <c r="B72" s="3" t="s">
        <v>3775</v>
      </c>
      <c r="C72" s="3">
        <v>514</v>
      </c>
      <c r="D72" s="3" t="s">
        <v>3964</v>
      </c>
      <c r="E72" s="3">
        <v>524</v>
      </c>
      <c r="F72" s="3" t="s">
        <v>817</v>
      </c>
      <c r="G72" s="3">
        <v>534</v>
      </c>
      <c r="H72" s="3"/>
      <c r="I72" s="3">
        <v>544</v>
      </c>
      <c r="J72" s="3"/>
      <c r="K72" s="3">
        <v>554</v>
      </c>
      <c r="L72" s="3"/>
      <c r="M72" s="3">
        <v>564</v>
      </c>
      <c r="N72" s="3" t="s">
        <v>3836</v>
      </c>
      <c r="O72" s="3">
        <v>574</v>
      </c>
      <c r="P72" s="3" t="s">
        <v>692</v>
      </c>
    </row>
    <row r="73" spans="1:16">
      <c r="A73" s="3">
        <v>505</v>
      </c>
      <c r="B73" s="3" t="s">
        <v>3854</v>
      </c>
      <c r="C73" s="3">
        <v>515</v>
      </c>
      <c r="D73" s="3"/>
      <c r="E73" s="3">
        <v>525</v>
      </c>
      <c r="F73" s="3" t="s">
        <v>1625</v>
      </c>
      <c r="G73" s="3">
        <v>535</v>
      </c>
      <c r="H73" s="3"/>
      <c r="I73" s="3">
        <v>545</v>
      </c>
      <c r="J73" s="3"/>
      <c r="K73" s="3">
        <v>555</v>
      </c>
      <c r="L73" s="3"/>
      <c r="M73" s="3">
        <v>565</v>
      </c>
      <c r="N73" s="3" t="s">
        <v>2153</v>
      </c>
      <c r="O73" s="3">
        <v>575</v>
      </c>
      <c r="P73" s="3" t="s">
        <v>3930</v>
      </c>
    </row>
    <row r="74" spans="1:16">
      <c r="A74" s="3">
        <v>506</v>
      </c>
      <c r="B74" s="3"/>
      <c r="C74" s="3">
        <v>516</v>
      </c>
      <c r="D74" s="3" t="s">
        <v>3734</v>
      </c>
      <c r="E74" s="3">
        <v>526</v>
      </c>
      <c r="F74" s="3" t="s">
        <v>1626</v>
      </c>
      <c r="G74" s="3">
        <v>536</v>
      </c>
      <c r="H74" s="3"/>
      <c r="I74" s="3">
        <v>546</v>
      </c>
      <c r="J74" s="3"/>
      <c r="K74" s="3">
        <v>556</v>
      </c>
      <c r="L74" s="3"/>
      <c r="M74" s="3">
        <v>566</v>
      </c>
      <c r="N74" s="3" t="s">
        <v>2183</v>
      </c>
      <c r="O74" s="3">
        <v>576</v>
      </c>
      <c r="P74" s="3" t="s">
        <v>3947</v>
      </c>
    </row>
    <row r="75" spans="1:16">
      <c r="A75" s="3">
        <v>507</v>
      </c>
      <c r="B75" s="3" t="s">
        <v>3859</v>
      </c>
      <c r="C75" s="3">
        <v>517</v>
      </c>
      <c r="D75" s="3" t="s">
        <v>3861</v>
      </c>
      <c r="E75" s="3">
        <v>527</v>
      </c>
      <c r="F75" s="3" t="s">
        <v>2175</v>
      </c>
      <c r="G75" s="3">
        <v>537</v>
      </c>
      <c r="H75" s="3"/>
      <c r="I75" s="3">
        <v>547</v>
      </c>
      <c r="J75" s="3"/>
      <c r="K75" s="3">
        <v>557</v>
      </c>
      <c r="L75" s="3"/>
      <c r="M75" s="3">
        <v>567</v>
      </c>
      <c r="N75" s="3" t="s">
        <v>2519</v>
      </c>
      <c r="O75" s="3">
        <v>577</v>
      </c>
      <c r="P75" s="3" t="s">
        <v>3784</v>
      </c>
    </row>
    <row r="76" spans="1:16">
      <c r="A76" s="3">
        <v>508</v>
      </c>
      <c r="B76" s="3" t="s">
        <v>3963</v>
      </c>
      <c r="C76" s="3">
        <v>518</v>
      </c>
      <c r="D76" s="3" t="s">
        <v>2150</v>
      </c>
      <c r="E76" s="3">
        <v>528</v>
      </c>
      <c r="F76" s="3" t="s">
        <v>2176</v>
      </c>
      <c r="G76" s="3">
        <v>538</v>
      </c>
      <c r="H76" s="3"/>
      <c r="I76" s="3">
        <v>548</v>
      </c>
      <c r="J76" s="3"/>
      <c r="K76" s="3">
        <v>558</v>
      </c>
      <c r="L76" s="3"/>
      <c r="M76" s="3">
        <v>568</v>
      </c>
      <c r="N76" s="3" t="s">
        <v>2185</v>
      </c>
      <c r="O76" s="3">
        <v>578</v>
      </c>
      <c r="P76" s="3" t="s">
        <v>2186</v>
      </c>
    </row>
    <row r="77" spans="1:16">
      <c r="A77" s="3">
        <v>509</v>
      </c>
      <c r="B77" s="3" t="s">
        <v>784</v>
      </c>
      <c r="C77" s="3">
        <v>519</v>
      </c>
      <c r="D77" s="3" t="s">
        <v>785</v>
      </c>
      <c r="E77" s="3">
        <v>529</v>
      </c>
      <c r="F77" s="3" t="s">
        <v>2177</v>
      </c>
      <c r="G77" s="3">
        <v>539</v>
      </c>
      <c r="H77" s="3"/>
      <c r="I77" s="3">
        <v>549</v>
      </c>
      <c r="J77" s="3"/>
      <c r="K77" s="3">
        <v>559</v>
      </c>
      <c r="L77" s="3"/>
      <c r="M77" s="3">
        <v>569</v>
      </c>
      <c r="N77" s="3" t="s">
        <v>2187</v>
      </c>
      <c r="O77" s="3">
        <v>579</v>
      </c>
      <c r="P77" s="3" t="s">
        <v>2188</v>
      </c>
    </row>
    <row r="78" spans="1:16">
      <c r="A78" s="3">
        <v>510</v>
      </c>
      <c r="B78" s="3" t="s">
        <v>787</v>
      </c>
      <c r="C78" s="3">
        <v>520</v>
      </c>
      <c r="D78" s="3" t="s">
        <v>788</v>
      </c>
      <c r="E78" s="3">
        <v>530</v>
      </c>
      <c r="F78" s="3" t="s">
        <v>3463</v>
      </c>
      <c r="G78" s="3">
        <v>540</v>
      </c>
      <c r="H78" s="3"/>
      <c r="I78" s="3">
        <v>550</v>
      </c>
      <c r="J78" s="3"/>
      <c r="K78" s="3">
        <v>560</v>
      </c>
      <c r="L78" s="3" t="s">
        <v>2151</v>
      </c>
      <c r="M78" s="3">
        <v>570</v>
      </c>
      <c r="N78" s="3" t="s">
        <v>3770</v>
      </c>
      <c r="O78" s="3">
        <v>580</v>
      </c>
      <c r="P78" s="3" t="s">
        <v>2189</v>
      </c>
    </row>
    <row r="80" spans="1:16">
      <c r="A80" s="3">
        <v>581</v>
      </c>
      <c r="B80" s="3" t="s">
        <v>3786</v>
      </c>
      <c r="C80" s="3">
        <v>591</v>
      </c>
      <c r="D80" s="3" t="s">
        <v>3771</v>
      </c>
      <c r="E80" s="3">
        <v>601</v>
      </c>
      <c r="F80" s="3" t="s">
        <v>2154</v>
      </c>
      <c r="G80" s="3">
        <v>611</v>
      </c>
      <c r="H80" s="3" t="s">
        <v>815</v>
      </c>
      <c r="I80" s="3">
        <v>621</v>
      </c>
      <c r="J80" s="3" t="s">
        <v>3781</v>
      </c>
      <c r="K80" s="3">
        <v>631</v>
      </c>
      <c r="L80" s="3" t="s">
        <v>2190</v>
      </c>
      <c r="M80" s="3">
        <v>641</v>
      </c>
      <c r="N80" s="3" t="s">
        <v>2191</v>
      </c>
      <c r="O80" s="3">
        <v>651</v>
      </c>
      <c r="P80" s="3" t="s">
        <v>3464</v>
      </c>
    </row>
    <row r="81" spans="1:16">
      <c r="A81" s="3">
        <v>582</v>
      </c>
      <c r="B81" s="3" t="s">
        <v>691</v>
      </c>
      <c r="C81" s="3">
        <v>592</v>
      </c>
      <c r="D81" s="3" t="s">
        <v>2180</v>
      </c>
      <c r="E81" s="3">
        <v>602</v>
      </c>
      <c r="F81" s="3" t="s">
        <v>3925</v>
      </c>
      <c r="G81" s="3">
        <v>612</v>
      </c>
      <c r="H81" s="3" t="s">
        <v>3943</v>
      </c>
      <c r="I81" s="3">
        <v>622</v>
      </c>
      <c r="J81" s="3" t="s">
        <v>37</v>
      </c>
      <c r="K81" s="3">
        <v>632</v>
      </c>
      <c r="L81" s="3" t="s">
        <v>2192</v>
      </c>
      <c r="M81" s="3">
        <v>642</v>
      </c>
      <c r="N81" s="3"/>
      <c r="O81" s="3">
        <v>652</v>
      </c>
      <c r="P81" s="3" t="s">
        <v>2223</v>
      </c>
    </row>
    <row r="82" spans="1:16">
      <c r="A82" s="3">
        <v>583</v>
      </c>
      <c r="B82" s="3" t="s">
        <v>3920</v>
      </c>
      <c r="C82" s="3">
        <v>593</v>
      </c>
      <c r="D82" s="3" t="s">
        <v>3707</v>
      </c>
      <c r="E82" s="3">
        <v>603</v>
      </c>
      <c r="F82" s="3" t="s">
        <v>2155</v>
      </c>
      <c r="G82" s="3">
        <v>613</v>
      </c>
      <c r="H82" s="3" t="s">
        <v>2193</v>
      </c>
      <c r="I82" s="3">
        <v>623</v>
      </c>
      <c r="J82" s="3" t="s">
        <v>3970</v>
      </c>
      <c r="K82" s="3">
        <v>633</v>
      </c>
      <c r="L82" s="3" t="s">
        <v>2194</v>
      </c>
      <c r="M82" s="3">
        <v>643</v>
      </c>
      <c r="N82" s="3"/>
      <c r="O82" s="3">
        <v>653</v>
      </c>
      <c r="P82" s="3" t="s">
        <v>2195</v>
      </c>
    </row>
    <row r="83" spans="1:16">
      <c r="A83" s="3">
        <v>584</v>
      </c>
      <c r="B83" s="3" t="s">
        <v>2181</v>
      </c>
      <c r="C83" s="3">
        <v>594</v>
      </c>
      <c r="D83" s="3" t="s">
        <v>2182</v>
      </c>
      <c r="E83" s="3">
        <v>604</v>
      </c>
      <c r="F83" s="3" t="s">
        <v>3778</v>
      </c>
      <c r="G83" s="3">
        <v>614</v>
      </c>
      <c r="H83" s="3" t="s">
        <v>3737</v>
      </c>
      <c r="I83" s="3">
        <v>624</v>
      </c>
      <c r="J83" s="3" t="s">
        <v>816</v>
      </c>
      <c r="K83" s="3">
        <v>634</v>
      </c>
      <c r="L83" s="3" t="s">
        <v>2196</v>
      </c>
      <c r="M83" s="3">
        <v>644</v>
      </c>
      <c r="N83" s="3" t="s">
        <v>2197</v>
      </c>
      <c r="O83" s="3">
        <v>654</v>
      </c>
      <c r="P83" s="3" t="s">
        <v>2198</v>
      </c>
    </row>
    <row r="84" spans="1:16">
      <c r="A84" s="3">
        <v>585</v>
      </c>
      <c r="B84" s="3" t="s">
        <v>3785</v>
      </c>
      <c r="C84" s="3">
        <v>595</v>
      </c>
      <c r="D84" s="3" t="s">
        <v>811</v>
      </c>
      <c r="E84" s="3">
        <v>605</v>
      </c>
      <c r="F84" s="3" t="s">
        <v>2199</v>
      </c>
      <c r="G84" s="3">
        <v>615</v>
      </c>
      <c r="H84" s="3" t="s">
        <v>2200</v>
      </c>
      <c r="I84" s="3">
        <v>625</v>
      </c>
      <c r="J84" s="3" t="s">
        <v>3779</v>
      </c>
      <c r="K84" s="3">
        <v>635</v>
      </c>
      <c r="L84" s="3"/>
      <c r="M84" s="3">
        <v>645</v>
      </c>
      <c r="N84" s="3" t="s">
        <v>2201</v>
      </c>
      <c r="O84" s="3">
        <v>655</v>
      </c>
      <c r="P84" s="3"/>
    </row>
    <row r="85" spans="1:16">
      <c r="A85" s="3">
        <v>586</v>
      </c>
      <c r="B85" s="3" t="s">
        <v>2184</v>
      </c>
      <c r="C85" s="3">
        <v>596</v>
      </c>
      <c r="D85" s="3" t="s">
        <v>812</v>
      </c>
      <c r="E85" s="3">
        <v>606</v>
      </c>
      <c r="F85" s="3" t="s">
        <v>3935</v>
      </c>
      <c r="G85" s="3">
        <v>616</v>
      </c>
      <c r="H85" s="3" t="s">
        <v>3855</v>
      </c>
      <c r="I85" s="3">
        <v>626</v>
      </c>
      <c r="J85" s="3" t="s">
        <v>2202</v>
      </c>
      <c r="K85" s="3">
        <v>636</v>
      </c>
      <c r="L85" s="3"/>
      <c r="M85" s="3">
        <v>646</v>
      </c>
      <c r="N85" s="3" t="s">
        <v>2203</v>
      </c>
      <c r="O85" s="3">
        <v>656</v>
      </c>
      <c r="P85" s="3"/>
    </row>
    <row r="86" spans="1:16">
      <c r="A86" s="3">
        <v>587</v>
      </c>
      <c r="B86" s="3" t="s">
        <v>3780</v>
      </c>
      <c r="C86" s="3">
        <v>597</v>
      </c>
      <c r="D86" s="3" t="s">
        <v>813</v>
      </c>
      <c r="E86" s="3">
        <v>607</v>
      </c>
      <c r="F86" s="3" t="s">
        <v>791</v>
      </c>
      <c r="G86" s="3">
        <v>617</v>
      </c>
      <c r="H86" s="3" t="s">
        <v>792</v>
      </c>
      <c r="I86" s="3">
        <v>627</v>
      </c>
      <c r="J86" s="3" t="s">
        <v>793</v>
      </c>
      <c r="K86" s="3">
        <v>637</v>
      </c>
      <c r="L86" s="3" t="s">
        <v>2204</v>
      </c>
      <c r="M86" s="3">
        <v>647</v>
      </c>
      <c r="N86" s="3" t="s">
        <v>498</v>
      </c>
      <c r="O86" s="3">
        <v>657</v>
      </c>
      <c r="P86" s="3"/>
    </row>
    <row r="87" spans="1:16">
      <c r="A87" s="3">
        <v>588</v>
      </c>
      <c r="B87" s="3" t="s">
        <v>789</v>
      </c>
      <c r="C87" s="3">
        <v>598</v>
      </c>
      <c r="D87" s="35" t="s">
        <v>1627</v>
      </c>
      <c r="E87" s="3">
        <v>608</v>
      </c>
      <c r="F87" s="3" t="s">
        <v>794</v>
      </c>
      <c r="G87" s="3">
        <v>618</v>
      </c>
      <c r="H87" s="3" t="s">
        <v>3462</v>
      </c>
      <c r="I87" s="3">
        <v>628</v>
      </c>
      <c r="J87" s="3" t="s">
        <v>795</v>
      </c>
      <c r="K87" s="3">
        <v>638</v>
      </c>
      <c r="L87" s="3" t="s">
        <v>2205</v>
      </c>
      <c r="M87" s="3">
        <v>648</v>
      </c>
      <c r="N87" s="3" t="s">
        <v>2206</v>
      </c>
      <c r="O87" s="3">
        <v>658</v>
      </c>
      <c r="P87" s="3" t="s">
        <v>2738</v>
      </c>
    </row>
    <row r="88" spans="1:16">
      <c r="A88" s="3">
        <v>589</v>
      </c>
      <c r="B88" s="3" t="s">
        <v>790</v>
      </c>
      <c r="C88" s="3">
        <v>599</v>
      </c>
      <c r="D88" s="3" t="s">
        <v>1628</v>
      </c>
      <c r="E88" s="3">
        <v>609</v>
      </c>
      <c r="F88" s="3" t="s">
        <v>2207</v>
      </c>
      <c r="G88" s="3">
        <v>619</v>
      </c>
      <c r="H88" s="3" t="s">
        <v>2156</v>
      </c>
      <c r="I88" s="3">
        <v>629</v>
      </c>
      <c r="J88" s="3" t="s">
        <v>2208</v>
      </c>
      <c r="K88" s="3">
        <v>639</v>
      </c>
      <c r="L88" s="3" t="s">
        <v>499</v>
      </c>
      <c r="M88" s="3">
        <v>649</v>
      </c>
      <c r="N88" s="3"/>
      <c r="O88" s="3">
        <v>659</v>
      </c>
      <c r="P88" s="3" t="s">
        <v>2209</v>
      </c>
    </row>
    <row r="89" spans="1:16">
      <c r="A89" s="3">
        <v>590</v>
      </c>
      <c r="B89" s="3" t="s">
        <v>4023</v>
      </c>
      <c r="C89" s="3">
        <v>600</v>
      </c>
      <c r="D89" s="3" t="s">
        <v>814</v>
      </c>
      <c r="E89" s="3">
        <v>610</v>
      </c>
      <c r="F89" s="3" t="s">
        <v>3953</v>
      </c>
      <c r="G89" s="3">
        <v>620</v>
      </c>
      <c r="H89" s="3" t="s">
        <v>2210</v>
      </c>
      <c r="I89" s="3">
        <v>630</v>
      </c>
      <c r="J89" s="3" t="s">
        <v>2211</v>
      </c>
      <c r="K89" s="3">
        <v>640</v>
      </c>
      <c r="L89" s="3" t="s">
        <v>2212</v>
      </c>
      <c r="M89" s="3">
        <v>650</v>
      </c>
      <c r="N89" s="3"/>
      <c r="O89" s="3">
        <v>660</v>
      </c>
      <c r="P89" s="3" t="s">
        <v>2213</v>
      </c>
    </row>
    <row r="91" spans="1:16">
      <c r="A91" s="3">
        <v>661</v>
      </c>
      <c r="B91" s="3" t="s">
        <v>2214</v>
      </c>
      <c r="C91" s="3">
        <v>671</v>
      </c>
      <c r="D91" s="3"/>
      <c r="E91" s="3">
        <v>681</v>
      </c>
      <c r="F91" s="3" t="s">
        <v>3952</v>
      </c>
      <c r="G91" s="3">
        <v>691</v>
      </c>
      <c r="H91" s="3" t="s">
        <v>3756</v>
      </c>
      <c r="I91" s="3">
        <v>701</v>
      </c>
      <c r="J91" s="3" t="s">
        <v>4045</v>
      </c>
      <c r="K91" s="3">
        <v>711</v>
      </c>
      <c r="L91" s="3" t="s">
        <v>3948</v>
      </c>
      <c r="M91" s="3">
        <v>721</v>
      </c>
      <c r="N91" s="3"/>
      <c r="O91" s="3">
        <v>731</v>
      </c>
      <c r="P91" s="3"/>
    </row>
    <row r="92" spans="1:16">
      <c r="A92" s="3">
        <v>662</v>
      </c>
      <c r="B92" s="3" t="s">
        <v>2215</v>
      </c>
      <c r="C92" s="3">
        <v>672</v>
      </c>
      <c r="D92" s="3" t="s">
        <v>2216</v>
      </c>
      <c r="E92" s="3">
        <v>682</v>
      </c>
      <c r="F92" s="3" t="s">
        <v>3755</v>
      </c>
      <c r="G92" s="3">
        <v>692</v>
      </c>
      <c r="H92" s="3" t="s">
        <v>18</v>
      </c>
      <c r="I92" s="3">
        <v>702</v>
      </c>
      <c r="J92" s="3" t="s">
        <v>3936</v>
      </c>
      <c r="K92" s="3">
        <v>712</v>
      </c>
      <c r="L92" s="3" t="s">
        <v>4047</v>
      </c>
      <c r="M92" s="3">
        <v>722</v>
      </c>
      <c r="N92" s="3"/>
      <c r="O92" s="3">
        <v>732</v>
      </c>
      <c r="P92" s="3"/>
    </row>
    <row r="93" spans="1:16">
      <c r="A93" s="3">
        <v>663</v>
      </c>
      <c r="B93" s="3"/>
      <c r="C93" s="3">
        <v>673</v>
      </c>
      <c r="D93" s="3" t="s">
        <v>2217</v>
      </c>
      <c r="E93" s="3">
        <v>683</v>
      </c>
      <c r="F93" s="3" t="s">
        <v>3754</v>
      </c>
      <c r="G93" s="3">
        <v>693</v>
      </c>
      <c r="H93" s="3" t="s">
        <v>3787</v>
      </c>
      <c r="I93" s="3">
        <v>703</v>
      </c>
      <c r="J93" s="3" t="s">
        <v>4061</v>
      </c>
      <c r="K93" s="3">
        <v>713</v>
      </c>
      <c r="L93" s="3" t="s">
        <v>2227</v>
      </c>
      <c r="M93" s="3">
        <v>723</v>
      </c>
      <c r="N93" s="3"/>
      <c r="O93" s="3">
        <v>733</v>
      </c>
      <c r="P93" s="3"/>
    </row>
    <row r="94" spans="1:16">
      <c r="A94" s="3">
        <v>664</v>
      </c>
      <c r="B94" s="3"/>
      <c r="C94" s="3">
        <v>674</v>
      </c>
      <c r="D94" s="3" t="s">
        <v>2218</v>
      </c>
      <c r="E94" s="3">
        <v>684</v>
      </c>
      <c r="F94" s="3" t="s">
        <v>3971</v>
      </c>
      <c r="G94" s="3">
        <v>694</v>
      </c>
      <c r="H94" s="3" t="s">
        <v>3944</v>
      </c>
      <c r="I94" s="3">
        <v>704</v>
      </c>
      <c r="J94" s="3" t="s">
        <v>3757</v>
      </c>
      <c r="K94" s="3">
        <v>714</v>
      </c>
      <c r="L94" s="3" t="s">
        <v>4046</v>
      </c>
      <c r="M94" s="3">
        <v>724</v>
      </c>
      <c r="N94" s="3"/>
      <c r="O94" s="3">
        <v>734</v>
      </c>
      <c r="P94" s="3"/>
    </row>
    <row r="95" spans="1:16">
      <c r="A95" s="3">
        <v>665</v>
      </c>
      <c r="B95" s="3" t="s">
        <v>2224</v>
      </c>
      <c r="C95" s="3">
        <v>675</v>
      </c>
      <c r="D95" s="3"/>
      <c r="E95" s="3">
        <v>685</v>
      </c>
      <c r="F95" s="3" t="s">
        <v>3950</v>
      </c>
      <c r="G95" s="3">
        <v>695</v>
      </c>
      <c r="H95" s="3" t="s">
        <v>4035</v>
      </c>
      <c r="I95" s="3">
        <v>705</v>
      </c>
      <c r="J95" s="3" t="s">
        <v>4025</v>
      </c>
      <c r="K95" s="3">
        <v>715</v>
      </c>
      <c r="L95" s="3"/>
      <c r="M95" s="3">
        <v>725</v>
      </c>
      <c r="N95" s="3"/>
      <c r="O95" s="3">
        <v>735</v>
      </c>
      <c r="P95" s="3"/>
    </row>
    <row r="96" spans="1:16">
      <c r="A96" s="3">
        <v>666</v>
      </c>
      <c r="B96" s="3" t="s">
        <v>2219</v>
      </c>
      <c r="C96" s="3">
        <v>676</v>
      </c>
      <c r="D96" s="3" t="s">
        <v>2220</v>
      </c>
      <c r="E96" s="3">
        <v>686</v>
      </c>
      <c r="F96" s="3" t="s">
        <v>796</v>
      </c>
      <c r="G96" s="3">
        <v>696</v>
      </c>
      <c r="H96" s="3" t="s">
        <v>797</v>
      </c>
      <c r="I96" s="3">
        <v>706</v>
      </c>
      <c r="J96" s="3" t="s">
        <v>798</v>
      </c>
      <c r="K96" s="3">
        <v>716</v>
      </c>
      <c r="L96" s="3"/>
      <c r="M96" s="3">
        <v>726</v>
      </c>
      <c r="N96" s="3"/>
      <c r="O96" s="3">
        <v>736</v>
      </c>
      <c r="P96" s="3"/>
    </row>
    <row r="97" spans="1:16">
      <c r="A97" s="3">
        <v>667</v>
      </c>
      <c r="B97" s="3" t="s">
        <v>799</v>
      </c>
      <c r="C97" s="3">
        <v>677</v>
      </c>
      <c r="D97" s="3"/>
      <c r="E97" s="3">
        <v>687</v>
      </c>
      <c r="F97" s="3" t="s">
        <v>800</v>
      </c>
      <c r="G97" s="3">
        <v>697</v>
      </c>
      <c r="H97" s="3" t="s">
        <v>801</v>
      </c>
      <c r="I97" s="3">
        <v>707</v>
      </c>
      <c r="J97" s="3" t="s">
        <v>802</v>
      </c>
      <c r="K97" s="3">
        <v>717</v>
      </c>
      <c r="L97" s="3"/>
      <c r="M97" s="3">
        <v>727</v>
      </c>
      <c r="N97" s="3"/>
      <c r="O97" s="3">
        <v>737</v>
      </c>
      <c r="P97" s="3"/>
    </row>
    <row r="98" spans="1:16">
      <c r="A98" s="3">
        <v>668</v>
      </c>
      <c r="B98" s="3" t="s">
        <v>2221</v>
      </c>
      <c r="C98" s="3">
        <v>678</v>
      </c>
      <c r="D98" s="3"/>
      <c r="E98" s="3">
        <v>688</v>
      </c>
      <c r="F98" s="3" t="s">
        <v>3966</v>
      </c>
      <c r="G98" s="3">
        <v>698</v>
      </c>
      <c r="H98" s="3" t="s">
        <v>4034</v>
      </c>
      <c r="I98" s="3">
        <v>708</v>
      </c>
      <c r="J98" s="3" t="s">
        <v>21</v>
      </c>
      <c r="K98" s="3">
        <v>718</v>
      </c>
      <c r="L98" s="3"/>
      <c r="M98" s="3">
        <v>728</v>
      </c>
      <c r="N98" s="3"/>
      <c r="O98" s="3">
        <v>738</v>
      </c>
      <c r="P98" s="3"/>
    </row>
    <row r="99" spans="1:16">
      <c r="A99" s="3">
        <v>669</v>
      </c>
      <c r="B99" s="3" t="s">
        <v>2222</v>
      </c>
      <c r="C99" s="3">
        <v>679</v>
      </c>
      <c r="D99" s="3" t="s">
        <v>2225</v>
      </c>
      <c r="E99" s="3">
        <v>689</v>
      </c>
      <c r="F99" s="3" t="s">
        <v>3738</v>
      </c>
      <c r="G99" s="3">
        <v>699</v>
      </c>
      <c r="H99" s="3" t="s">
        <v>2226</v>
      </c>
      <c r="I99" s="3">
        <v>709</v>
      </c>
      <c r="J99" s="3" t="s">
        <v>3763</v>
      </c>
      <c r="K99" s="3">
        <v>719</v>
      </c>
      <c r="L99" s="3"/>
      <c r="M99" s="3">
        <v>729</v>
      </c>
      <c r="N99" s="3"/>
      <c r="O99" s="3">
        <v>739</v>
      </c>
      <c r="P99" s="3"/>
    </row>
    <row r="100" spans="1:16">
      <c r="A100" s="3">
        <v>670</v>
      </c>
      <c r="B100" s="3"/>
      <c r="C100" s="3">
        <v>680</v>
      </c>
      <c r="D100" s="3" t="s">
        <v>4024</v>
      </c>
      <c r="E100" s="3">
        <v>690</v>
      </c>
      <c r="F100" s="3" t="s">
        <v>16</v>
      </c>
      <c r="G100" s="3">
        <v>700</v>
      </c>
      <c r="H100" s="3" t="s">
        <v>3846</v>
      </c>
      <c r="I100" s="3">
        <v>710</v>
      </c>
      <c r="J100" s="3" t="s">
        <v>3917</v>
      </c>
      <c r="K100" s="3">
        <v>720</v>
      </c>
      <c r="L100" s="3"/>
      <c r="M100" s="3">
        <v>730</v>
      </c>
      <c r="N100" s="3"/>
      <c r="O100" s="3">
        <v>740</v>
      </c>
      <c r="P100" s="3"/>
    </row>
    <row r="102" spans="1:16">
      <c r="A102" s="3">
        <v>741</v>
      </c>
      <c r="B102" s="3"/>
      <c r="C102" s="3">
        <v>751</v>
      </c>
      <c r="D102" s="3"/>
      <c r="E102" s="3">
        <v>761</v>
      </c>
      <c r="F102" s="3"/>
      <c r="G102" s="3">
        <v>771</v>
      </c>
      <c r="H102" s="3"/>
      <c r="I102" s="3">
        <v>781</v>
      </c>
      <c r="J102" s="3" t="s">
        <v>1622</v>
      </c>
      <c r="K102" s="3">
        <v>791</v>
      </c>
      <c r="L102" s="3" t="s">
        <v>1603</v>
      </c>
    </row>
    <row r="103" spans="1:16">
      <c r="A103" s="3">
        <v>742</v>
      </c>
      <c r="B103" s="3"/>
      <c r="C103" s="3">
        <v>752</v>
      </c>
      <c r="D103" s="3"/>
      <c r="E103" s="3">
        <v>762</v>
      </c>
      <c r="F103" s="3"/>
      <c r="G103" s="3">
        <v>772</v>
      </c>
      <c r="H103" s="3" t="s">
        <v>1616</v>
      </c>
      <c r="I103" s="3">
        <v>782</v>
      </c>
      <c r="J103" s="3" t="s">
        <v>1599</v>
      </c>
      <c r="K103" s="3">
        <v>792</v>
      </c>
      <c r="L103" s="3" t="s">
        <v>2231</v>
      </c>
    </row>
    <row r="104" spans="1:16">
      <c r="A104" s="3">
        <v>743</v>
      </c>
      <c r="B104" s="3"/>
      <c r="C104" s="3">
        <v>753</v>
      </c>
      <c r="D104" s="3"/>
      <c r="E104" s="3">
        <v>763</v>
      </c>
      <c r="F104" s="3"/>
      <c r="G104" s="3">
        <v>773</v>
      </c>
      <c r="H104" s="3" t="s">
        <v>2228</v>
      </c>
      <c r="I104" s="3">
        <v>783</v>
      </c>
      <c r="J104" s="3" t="s">
        <v>2230</v>
      </c>
      <c r="K104" s="3">
        <v>793</v>
      </c>
      <c r="L104" s="3" t="s">
        <v>2233</v>
      </c>
    </row>
    <row r="105" spans="1:16">
      <c r="A105" s="3">
        <v>744</v>
      </c>
      <c r="B105" s="3"/>
      <c r="C105" s="3">
        <v>754</v>
      </c>
      <c r="D105" s="3"/>
      <c r="E105" s="3">
        <v>764</v>
      </c>
      <c r="F105" s="3"/>
      <c r="G105" s="3">
        <v>774</v>
      </c>
      <c r="H105" s="3" t="s">
        <v>2229</v>
      </c>
      <c r="I105" s="3">
        <v>784</v>
      </c>
      <c r="J105" s="3" t="s">
        <v>1619</v>
      </c>
      <c r="K105" s="3">
        <v>794</v>
      </c>
      <c r="L105" s="3" t="s">
        <v>804</v>
      </c>
    </row>
    <row r="106" spans="1:16">
      <c r="A106" s="3">
        <v>745</v>
      </c>
      <c r="B106" s="3"/>
      <c r="C106" s="3">
        <v>755</v>
      </c>
      <c r="D106" s="3"/>
      <c r="E106" s="3">
        <v>765</v>
      </c>
      <c r="F106" s="3"/>
      <c r="G106" s="3">
        <v>775</v>
      </c>
      <c r="H106" s="3" t="s">
        <v>1617</v>
      </c>
      <c r="I106" s="3">
        <v>785</v>
      </c>
      <c r="J106" s="3" t="s">
        <v>805</v>
      </c>
      <c r="K106" s="3">
        <v>795</v>
      </c>
      <c r="L106" s="3" t="s">
        <v>806</v>
      </c>
    </row>
    <row r="107" spans="1:16">
      <c r="A107" s="3">
        <v>746</v>
      </c>
      <c r="B107" s="3"/>
      <c r="C107" s="3">
        <v>756</v>
      </c>
      <c r="D107" s="3"/>
      <c r="E107" s="3">
        <v>766</v>
      </c>
      <c r="F107" s="3"/>
      <c r="G107" s="3">
        <v>776</v>
      </c>
      <c r="H107" s="3" t="s">
        <v>803</v>
      </c>
      <c r="I107" s="3">
        <v>786</v>
      </c>
      <c r="J107" s="3" t="s">
        <v>1591</v>
      </c>
      <c r="K107" s="3">
        <v>796</v>
      </c>
      <c r="L107" s="3" t="s">
        <v>2234</v>
      </c>
    </row>
    <row r="108" spans="1:16">
      <c r="A108" s="3">
        <v>747</v>
      </c>
      <c r="B108" s="3"/>
      <c r="C108" s="3">
        <v>757</v>
      </c>
      <c r="D108" s="3"/>
      <c r="E108" s="3">
        <v>767</v>
      </c>
      <c r="F108" s="3"/>
      <c r="G108" s="3">
        <v>777</v>
      </c>
      <c r="H108" s="3" t="s">
        <v>1682</v>
      </c>
      <c r="I108" s="3">
        <v>787</v>
      </c>
      <c r="J108" s="3" t="s">
        <v>1620</v>
      </c>
      <c r="K108" s="3">
        <v>797</v>
      </c>
      <c r="L108" s="3" t="s">
        <v>2235</v>
      </c>
    </row>
    <row r="109" spans="1:16">
      <c r="A109" s="3">
        <v>748</v>
      </c>
      <c r="B109" s="3"/>
      <c r="C109" s="3">
        <v>758</v>
      </c>
      <c r="D109" s="3"/>
      <c r="E109" s="3">
        <v>768</v>
      </c>
      <c r="F109" s="3"/>
      <c r="G109" s="3">
        <v>778</v>
      </c>
      <c r="H109" s="3" t="s">
        <v>1618</v>
      </c>
      <c r="I109" s="3">
        <v>788</v>
      </c>
      <c r="J109" s="3" t="s">
        <v>1677</v>
      </c>
      <c r="K109" s="3">
        <v>798</v>
      </c>
      <c r="L109" s="3" t="s">
        <v>2236</v>
      </c>
    </row>
    <row r="110" spans="1:16">
      <c r="A110" s="3">
        <v>749</v>
      </c>
      <c r="B110" s="3"/>
      <c r="C110" s="3">
        <v>759</v>
      </c>
      <c r="D110" s="3"/>
      <c r="E110" s="3">
        <v>769</v>
      </c>
      <c r="F110" s="3"/>
      <c r="G110" s="3">
        <v>779</v>
      </c>
      <c r="H110" s="3" t="s">
        <v>1597</v>
      </c>
      <c r="I110" s="3">
        <v>789</v>
      </c>
      <c r="J110" s="3" t="s">
        <v>1596</v>
      </c>
      <c r="K110" s="3">
        <v>799</v>
      </c>
      <c r="L110" s="3" t="s">
        <v>2237</v>
      </c>
    </row>
    <row r="111" spans="1:16">
      <c r="A111" s="3">
        <v>750</v>
      </c>
      <c r="B111" s="3"/>
      <c r="C111" s="3">
        <v>760</v>
      </c>
      <c r="D111" s="3"/>
      <c r="E111" s="3">
        <v>770</v>
      </c>
      <c r="F111" s="3"/>
      <c r="G111" s="3">
        <v>780</v>
      </c>
      <c r="H111" s="3" t="s">
        <v>1685</v>
      </c>
      <c r="I111" s="3">
        <v>790</v>
      </c>
      <c r="J111" s="3" t="s">
        <v>1621</v>
      </c>
      <c r="K111" s="3">
        <v>800</v>
      </c>
      <c r="L111" s="3"/>
    </row>
  </sheetData>
  <mergeCells count="1">
    <mergeCell ref="A1:P1"/>
  </mergeCells>
  <phoneticPr fontId="2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G39"/>
  <sheetViews>
    <sheetView topLeftCell="A13" workbookViewId="0">
      <selection activeCell="E18" sqref="E18"/>
    </sheetView>
  </sheetViews>
  <sheetFormatPr defaultRowHeight="14.25"/>
  <cols>
    <col min="1" max="1" width="9.5" style="25" bestFit="1" customWidth="1"/>
    <col min="2" max="7" width="16.5" style="25" customWidth="1"/>
    <col min="8" max="16384" width="9" style="25"/>
  </cols>
  <sheetData>
    <row r="1" spans="1:7" ht="33">
      <c r="A1" s="185" t="s">
        <v>2579</v>
      </c>
      <c r="B1" s="185"/>
      <c r="C1" s="185"/>
      <c r="D1" s="185"/>
      <c r="E1" s="185"/>
      <c r="F1" s="185"/>
      <c r="G1" s="185"/>
    </row>
    <row r="2" spans="1:7">
      <c r="A2" s="36"/>
      <c r="B2" s="36" t="s">
        <v>807</v>
      </c>
      <c r="C2" s="36" t="s">
        <v>2472</v>
      </c>
      <c r="D2" s="36" t="s">
        <v>2473</v>
      </c>
      <c r="E2" s="36" t="s">
        <v>2474</v>
      </c>
      <c r="F2" s="36" t="s">
        <v>2475</v>
      </c>
      <c r="G2" s="36" t="s">
        <v>2476</v>
      </c>
    </row>
    <row r="3" spans="1:7">
      <c r="A3" s="186" t="s">
        <v>808</v>
      </c>
      <c r="B3" s="3" t="s">
        <v>2482</v>
      </c>
      <c r="C3" s="3" t="s">
        <v>2477</v>
      </c>
      <c r="D3" s="3" t="s">
        <v>2478</v>
      </c>
      <c r="E3" s="3" t="s">
        <v>2479</v>
      </c>
      <c r="F3" s="3" t="s">
        <v>2480</v>
      </c>
      <c r="G3" s="3" t="s">
        <v>2481</v>
      </c>
    </row>
    <row r="4" spans="1:7">
      <c r="A4" s="186"/>
      <c r="B4" s="3" t="s">
        <v>2483</v>
      </c>
      <c r="C4" s="3" t="s">
        <v>2484</v>
      </c>
      <c r="D4" s="3" t="s">
        <v>2485</v>
      </c>
      <c r="E4" s="3" t="s">
        <v>2487</v>
      </c>
      <c r="F4" s="3" t="s">
        <v>2488</v>
      </c>
      <c r="G4" s="3" t="s">
        <v>2489</v>
      </c>
    </row>
    <row r="5" spans="1:7">
      <c r="A5" s="36" t="s">
        <v>809</v>
      </c>
      <c r="B5" s="3" t="s">
        <v>2490</v>
      </c>
      <c r="C5" s="3" t="s">
        <v>2483</v>
      </c>
      <c r="D5" s="3" t="s">
        <v>2484</v>
      </c>
      <c r="E5" s="3" t="s">
        <v>2485</v>
      </c>
      <c r="F5" s="3" t="s">
        <v>2487</v>
      </c>
      <c r="G5" s="3" t="s">
        <v>2488</v>
      </c>
    </row>
    <row r="6" spans="1:7">
      <c r="A6" s="36" t="s">
        <v>810</v>
      </c>
      <c r="B6" s="3" t="s">
        <v>2477</v>
      </c>
      <c r="C6" s="3" t="s">
        <v>2478</v>
      </c>
      <c r="D6" s="3" t="s">
        <v>2479</v>
      </c>
      <c r="E6" s="3" t="s">
        <v>2480</v>
      </c>
      <c r="F6" s="3" t="s">
        <v>2481</v>
      </c>
      <c r="G6" s="3" t="s">
        <v>2491</v>
      </c>
    </row>
    <row r="8" spans="1:7">
      <c r="A8" s="182" t="s">
        <v>966</v>
      </c>
      <c r="B8" s="155" t="s">
        <v>967</v>
      </c>
      <c r="C8" s="3" t="s">
        <v>968</v>
      </c>
      <c r="D8" s="155" t="s">
        <v>969</v>
      </c>
      <c r="E8" s="3" t="s">
        <v>970</v>
      </c>
    </row>
    <row r="9" spans="1:7">
      <c r="A9" s="183"/>
      <c r="B9" s="155"/>
      <c r="C9" s="3" t="s">
        <v>971</v>
      </c>
      <c r="D9" s="155"/>
      <c r="E9" s="3" t="s">
        <v>972</v>
      </c>
    </row>
    <row r="10" spans="1:7">
      <c r="A10" s="183"/>
      <c r="B10" s="155"/>
      <c r="C10" s="3" t="s">
        <v>973</v>
      </c>
      <c r="D10" s="155"/>
      <c r="E10" s="3" t="s">
        <v>974</v>
      </c>
    </row>
    <row r="11" spans="1:7">
      <c r="A11" s="183"/>
      <c r="B11" s="155"/>
      <c r="C11" s="3" t="s">
        <v>975</v>
      </c>
      <c r="D11" s="155"/>
      <c r="E11" s="3" t="s">
        <v>976</v>
      </c>
    </row>
    <row r="12" spans="1:7">
      <c r="A12" s="183"/>
      <c r="B12" s="155" t="s">
        <v>977</v>
      </c>
      <c r="C12" s="3" t="s">
        <v>978</v>
      </c>
      <c r="D12" s="155"/>
      <c r="E12" s="3" t="s">
        <v>979</v>
      </c>
    </row>
    <row r="13" spans="1:7">
      <c r="A13" s="183"/>
      <c r="B13" s="155"/>
      <c r="C13" s="3" t="s">
        <v>980</v>
      </c>
      <c r="D13" s="155"/>
      <c r="E13" s="3" t="s">
        <v>981</v>
      </c>
    </row>
    <row r="14" spans="1:7">
      <c r="A14" s="183"/>
      <c r="B14" s="155"/>
      <c r="C14" s="3" t="s">
        <v>982</v>
      </c>
      <c r="D14" s="155"/>
      <c r="E14" s="3" t="s">
        <v>983</v>
      </c>
    </row>
    <row r="15" spans="1:7">
      <c r="A15" s="183"/>
      <c r="B15" s="155"/>
      <c r="C15" s="3" t="s">
        <v>984</v>
      </c>
      <c r="D15" s="155"/>
      <c r="E15" s="3" t="s">
        <v>985</v>
      </c>
    </row>
    <row r="16" spans="1:7">
      <c r="A16" s="183"/>
      <c r="B16" s="155"/>
      <c r="C16" s="3" t="s">
        <v>986</v>
      </c>
      <c r="D16" s="155"/>
      <c r="E16" s="3" t="s">
        <v>987</v>
      </c>
    </row>
    <row r="17" spans="1:5">
      <c r="A17" s="183"/>
      <c r="B17" s="155"/>
      <c r="C17" s="3" t="s">
        <v>988</v>
      </c>
      <c r="D17" s="155"/>
      <c r="E17" s="3" t="s">
        <v>989</v>
      </c>
    </row>
    <row r="18" spans="1:5">
      <c r="A18" s="183"/>
      <c r="B18" s="155"/>
      <c r="C18" s="3" t="s">
        <v>990</v>
      </c>
      <c r="D18" s="155"/>
      <c r="E18" s="3" t="s">
        <v>991</v>
      </c>
    </row>
    <row r="19" spans="1:5">
      <c r="A19" s="183"/>
      <c r="B19" s="155"/>
      <c r="C19" s="3" t="s">
        <v>992</v>
      </c>
      <c r="D19" s="155"/>
      <c r="E19" s="3" t="s">
        <v>993</v>
      </c>
    </row>
    <row r="20" spans="1:5">
      <c r="A20" s="183"/>
      <c r="B20" s="155"/>
      <c r="C20" s="3" t="s">
        <v>994</v>
      </c>
      <c r="D20" s="155"/>
      <c r="E20" s="3" t="s">
        <v>995</v>
      </c>
    </row>
    <row r="21" spans="1:5">
      <c r="A21" s="183"/>
      <c r="B21" s="155"/>
      <c r="C21" s="3" t="s">
        <v>996</v>
      </c>
      <c r="D21" s="155"/>
      <c r="E21" s="3" t="s">
        <v>997</v>
      </c>
    </row>
    <row r="22" spans="1:5">
      <c r="A22" s="183"/>
      <c r="B22" s="155"/>
      <c r="C22" s="3" t="s">
        <v>998</v>
      </c>
      <c r="D22" s="155"/>
      <c r="E22" s="3" t="s">
        <v>999</v>
      </c>
    </row>
    <row r="23" spans="1:5">
      <c r="A23" s="183"/>
      <c r="B23" s="155"/>
      <c r="C23" s="3" t="s">
        <v>1000</v>
      </c>
      <c r="D23" s="155"/>
      <c r="E23" s="3" t="s">
        <v>1001</v>
      </c>
    </row>
    <row r="24" spans="1:5">
      <c r="A24" s="183"/>
      <c r="B24" s="155"/>
      <c r="C24" s="3" t="s">
        <v>1002</v>
      </c>
      <c r="D24" s="155" t="s">
        <v>1003</v>
      </c>
      <c r="E24" s="3" t="s">
        <v>1004</v>
      </c>
    </row>
    <row r="25" spans="1:5">
      <c r="A25" s="183"/>
      <c r="B25" s="155"/>
      <c r="C25" s="3" t="s">
        <v>1005</v>
      </c>
      <c r="D25" s="155"/>
      <c r="E25" s="3" t="s">
        <v>1006</v>
      </c>
    </row>
    <row r="26" spans="1:5">
      <c r="A26" s="183"/>
      <c r="B26" s="155"/>
      <c r="C26" s="3" t="s">
        <v>1007</v>
      </c>
      <c r="D26" s="155"/>
      <c r="E26" s="3" t="s">
        <v>1008</v>
      </c>
    </row>
    <row r="27" spans="1:5">
      <c r="A27" s="183"/>
      <c r="B27" s="155" t="s">
        <v>1009</v>
      </c>
      <c r="C27" s="3" t="s">
        <v>1010</v>
      </c>
      <c r="D27" s="155"/>
      <c r="E27" s="3" t="s">
        <v>1011</v>
      </c>
    </row>
    <row r="28" spans="1:5">
      <c r="A28" s="183"/>
      <c r="B28" s="155"/>
      <c r="C28" s="3" t="s">
        <v>1012</v>
      </c>
      <c r="D28" s="155" t="s">
        <v>1013</v>
      </c>
      <c r="E28" s="3" t="s">
        <v>1014</v>
      </c>
    </row>
    <row r="29" spans="1:5">
      <c r="A29" s="183"/>
      <c r="B29" s="155"/>
      <c r="C29" s="3" t="s">
        <v>1015</v>
      </c>
      <c r="D29" s="155"/>
      <c r="E29" s="3" t="s">
        <v>1016</v>
      </c>
    </row>
    <row r="30" spans="1:5">
      <c r="A30" s="183"/>
      <c r="B30" s="155"/>
      <c r="C30" s="3" t="s">
        <v>1017</v>
      </c>
      <c r="D30" s="155"/>
      <c r="E30" s="3" t="s">
        <v>1018</v>
      </c>
    </row>
    <row r="31" spans="1:5">
      <c r="A31" s="183"/>
      <c r="B31" s="155"/>
      <c r="C31" s="3" t="s">
        <v>1019</v>
      </c>
      <c r="D31" s="155" t="s">
        <v>1020</v>
      </c>
      <c r="E31" s="3" t="s">
        <v>1021</v>
      </c>
    </row>
    <row r="32" spans="1:5">
      <c r="A32" s="183"/>
      <c r="B32" s="155"/>
      <c r="C32" s="3" t="s">
        <v>3241</v>
      </c>
      <c r="D32" s="155"/>
      <c r="E32" s="3" t="s">
        <v>3242</v>
      </c>
    </row>
    <row r="33" spans="1:5">
      <c r="A33" s="183"/>
      <c r="B33" s="155"/>
      <c r="C33" s="3" t="s">
        <v>3243</v>
      </c>
      <c r="D33" s="155"/>
      <c r="E33" s="3" t="s">
        <v>3244</v>
      </c>
    </row>
    <row r="34" spans="1:5">
      <c r="A34" s="183"/>
      <c r="B34" s="155"/>
      <c r="C34" s="3" t="s">
        <v>3245</v>
      </c>
      <c r="D34" s="155" t="s">
        <v>3246</v>
      </c>
      <c r="E34" s="3" t="s">
        <v>1014</v>
      </c>
    </row>
    <row r="35" spans="1:5">
      <c r="A35" s="183"/>
      <c r="B35" s="155"/>
      <c r="C35" s="3" t="s">
        <v>3247</v>
      </c>
      <c r="D35" s="155"/>
      <c r="E35" s="3" t="s">
        <v>1016</v>
      </c>
    </row>
    <row r="36" spans="1:5">
      <c r="A36" s="183"/>
      <c r="B36" s="155"/>
      <c r="C36" s="3" t="s">
        <v>3248</v>
      </c>
      <c r="D36" s="155"/>
      <c r="E36" s="3" t="s">
        <v>1018</v>
      </c>
    </row>
    <row r="37" spans="1:5">
      <c r="A37" s="183"/>
      <c r="B37" s="155"/>
      <c r="C37" s="3" t="s">
        <v>3249</v>
      </c>
      <c r="D37" s="155"/>
      <c r="E37" s="3" t="s">
        <v>1021</v>
      </c>
    </row>
    <row r="38" spans="1:5">
      <c r="A38" s="183"/>
      <c r="B38" s="155"/>
      <c r="C38" s="3" t="s">
        <v>3250</v>
      </c>
      <c r="D38" s="155"/>
      <c r="E38" s="3" t="s">
        <v>3242</v>
      </c>
    </row>
    <row r="39" spans="1:5">
      <c r="A39" s="184"/>
      <c r="B39" s="14"/>
      <c r="C39" s="14"/>
      <c r="D39" s="155"/>
      <c r="E39" s="3" t="s">
        <v>2471</v>
      </c>
    </row>
  </sheetData>
  <mergeCells count="11">
    <mergeCell ref="A1:G1"/>
    <mergeCell ref="A3:A4"/>
    <mergeCell ref="B8:B11"/>
    <mergeCell ref="D8:D23"/>
    <mergeCell ref="B12:B26"/>
    <mergeCell ref="D31:D33"/>
    <mergeCell ref="D34:D39"/>
    <mergeCell ref="A8:A39"/>
    <mergeCell ref="D24:D27"/>
    <mergeCell ref="B27:B38"/>
    <mergeCell ref="D28:D30"/>
  </mergeCells>
  <phoneticPr fontId="2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M69"/>
  <sheetViews>
    <sheetView tabSelected="1" topLeftCell="A19" workbookViewId="0">
      <selection activeCell="K28" sqref="K28"/>
    </sheetView>
  </sheetViews>
  <sheetFormatPr defaultRowHeight="14.25"/>
  <cols>
    <col min="1" max="1" width="9.5" style="16" bestFit="1" customWidth="1"/>
    <col min="2" max="2" width="9.5" style="202" bestFit="1" customWidth="1"/>
    <col min="3" max="3" width="10.5" style="16" bestFit="1" customWidth="1"/>
    <col min="4" max="4" width="11.625" style="16" bestFit="1" customWidth="1"/>
    <col min="5" max="5" width="9.5" style="16" bestFit="1" customWidth="1"/>
    <col min="6" max="6" width="11.625" style="16" bestFit="1" customWidth="1"/>
    <col min="7" max="7" width="10.5" style="16" bestFit="1" customWidth="1"/>
    <col min="8" max="8" width="13.875" style="16" bestFit="1" customWidth="1"/>
    <col min="9" max="9" width="10.5" style="16" bestFit="1" customWidth="1"/>
    <col min="10" max="10" width="11.625" style="16" bestFit="1" customWidth="1"/>
    <col min="11" max="11" width="10.5" style="16" bestFit="1" customWidth="1"/>
    <col min="12" max="12" width="11.625" style="16" bestFit="1" customWidth="1"/>
    <col min="13" max="13" width="25" bestFit="1" customWidth="1"/>
  </cols>
  <sheetData>
    <row r="1" spans="1:12" ht="21" thickBot="1">
      <c r="A1" s="204" t="s">
        <v>4475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>
      <c r="A2" s="110" t="s">
        <v>4468</v>
      </c>
      <c r="B2" s="194" t="s">
        <v>4236</v>
      </c>
      <c r="C2" s="112" t="s">
        <v>4320</v>
      </c>
      <c r="D2" s="113" t="s">
        <v>4321</v>
      </c>
      <c r="E2" s="111" t="s">
        <v>4322</v>
      </c>
      <c r="F2" s="114" t="s">
        <v>4321</v>
      </c>
      <c r="G2" s="111" t="s">
        <v>4320</v>
      </c>
      <c r="H2" s="114" t="s">
        <v>4321</v>
      </c>
      <c r="I2" s="111" t="s">
        <v>4320</v>
      </c>
      <c r="J2" s="114" t="s">
        <v>4321</v>
      </c>
      <c r="K2" s="111" t="s">
        <v>4320</v>
      </c>
      <c r="L2" s="115" t="s">
        <v>4321</v>
      </c>
    </row>
    <row r="3" spans="1:12">
      <c r="A3" s="116">
        <v>1</v>
      </c>
      <c r="B3" s="195">
        <v>2.5</v>
      </c>
      <c r="C3" s="117" t="s">
        <v>4238</v>
      </c>
      <c r="D3" s="118" t="s">
        <v>4237</v>
      </c>
      <c r="E3" s="117"/>
      <c r="F3" s="118"/>
      <c r="G3" s="117"/>
      <c r="H3" s="118"/>
      <c r="I3" s="117"/>
      <c r="J3" s="118"/>
      <c r="K3" s="117"/>
      <c r="L3" s="119"/>
    </row>
    <row r="4" spans="1:12">
      <c r="A4" s="190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2"/>
    </row>
    <row r="5" spans="1:12">
      <c r="A5" s="116">
        <v>2</v>
      </c>
      <c r="B5" s="196">
        <v>2</v>
      </c>
      <c r="C5" s="117" t="s">
        <v>4238</v>
      </c>
      <c r="D5" s="118" t="s">
        <v>4239</v>
      </c>
      <c r="E5" s="117" t="s">
        <v>4238</v>
      </c>
      <c r="F5" s="118" t="s">
        <v>4240</v>
      </c>
      <c r="G5" s="117" t="s">
        <v>4241</v>
      </c>
      <c r="H5" s="118" t="s">
        <v>4242</v>
      </c>
      <c r="I5" s="117" t="s">
        <v>4243</v>
      </c>
      <c r="J5" s="118" t="s">
        <v>4323</v>
      </c>
      <c r="K5" s="117" t="s">
        <v>4244</v>
      </c>
      <c r="L5" s="119" t="s">
        <v>4245</v>
      </c>
    </row>
    <row r="6" spans="1:12">
      <c r="A6" s="190"/>
      <c r="B6" s="191"/>
      <c r="C6" s="191" t="s">
        <v>4246</v>
      </c>
      <c r="D6" s="191" t="s">
        <v>870</v>
      </c>
      <c r="E6" s="191"/>
      <c r="F6" s="191"/>
      <c r="G6" s="191"/>
      <c r="H6" s="191"/>
      <c r="I6" s="191"/>
      <c r="J6" s="191"/>
      <c r="K6" s="191"/>
      <c r="L6" s="192"/>
    </row>
    <row r="7" spans="1:12">
      <c r="A7" s="116">
        <v>3</v>
      </c>
      <c r="B7" s="196">
        <v>1.75</v>
      </c>
      <c r="C7" s="117" t="s">
        <v>4324</v>
      </c>
      <c r="D7" s="118" t="s">
        <v>4325</v>
      </c>
      <c r="E7" s="117"/>
      <c r="F7" s="118"/>
      <c r="G7" s="117"/>
      <c r="H7" s="118"/>
      <c r="I7" s="117"/>
      <c r="J7" s="118"/>
      <c r="K7" s="117"/>
      <c r="L7" s="119"/>
    </row>
    <row r="8" spans="1:12">
      <c r="A8" s="190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2"/>
    </row>
    <row r="9" spans="1:12">
      <c r="A9" s="116">
        <v>4</v>
      </c>
      <c r="B9" s="196">
        <v>1.5</v>
      </c>
      <c r="C9" s="117" t="s">
        <v>4326</v>
      </c>
      <c r="D9" s="118" t="s">
        <v>4327</v>
      </c>
      <c r="E9" s="117" t="s">
        <v>4328</v>
      </c>
      <c r="F9" s="118" t="s">
        <v>4329</v>
      </c>
      <c r="G9" s="117" t="s">
        <v>4330</v>
      </c>
      <c r="H9" s="118" t="s">
        <v>4331</v>
      </c>
      <c r="I9" s="117" t="s">
        <v>4470</v>
      </c>
      <c r="J9" s="118" t="s">
        <v>4332</v>
      </c>
      <c r="K9" s="117"/>
      <c r="L9" s="119"/>
    </row>
    <row r="10" spans="1:12">
      <c r="A10" s="190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2"/>
    </row>
    <row r="11" spans="1:12">
      <c r="A11" s="116">
        <v>5</v>
      </c>
      <c r="B11" s="196">
        <v>1.45</v>
      </c>
      <c r="C11" s="117" t="s">
        <v>4333</v>
      </c>
      <c r="D11" s="118" t="s">
        <v>4334</v>
      </c>
      <c r="E11" s="117" t="s">
        <v>4335</v>
      </c>
      <c r="F11" s="118" t="s">
        <v>4336</v>
      </c>
      <c r="G11" s="117" t="s">
        <v>4335</v>
      </c>
      <c r="H11" s="118" t="s">
        <v>4337</v>
      </c>
      <c r="I11" s="117"/>
      <c r="J11" s="118"/>
      <c r="K11" s="117"/>
      <c r="L11" s="119"/>
    </row>
    <row r="12" spans="1:12">
      <c r="A12" s="190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2"/>
    </row>
    <row r="13" spans="1:12">
      <c r="A13" s="116">
        <v>6</v>
      </c>
      <c r="B13" s="196">
        <v>1.4</v>
      </c>
      <c r="C13" s="117" t="s">
        <v>4247</v>
      </c>
      <c r="D13" s="118" t="s">
        <v>4253</v>
      </c>
      <c r="E13" s="117" t="s">
        <v>4241</v>
      </c>
      <c r="F13" s="118" t="s">
        <v>4254</v>
      </c>
      <c r="G13" s="117" t="s">
        <v>4244</v>
      </c>
      <c r="H13" s="118" t="s">
        <v>4248</v>
      </c>
      <c r="I13" s="117" t="s">
        <v>4244</v>
      </c>
      <c r="J13" s="118" t="s">
        <v>4249</v>
      </c>
      <c r="K13" s="117" t="s">
        <v>4244</v>
      </c>
      <c r="L13" s="119" t="s">
        <v>4250</v>
      </c>
    </row>
    <row r="14" spans="1:12">
      <c r="A14" s="116"/>
      <c r="B14" s="196"/>
      <c r="C14" s="117" t="s">
        <v>4246</v>
      </c>
      <c r="D14" s="118" t="s">
        <v>4251</v>
      </c>
      <c r="E14" s="117" t="s">
        <v>4246</v>
      </c>
      <c r="F14" s="118" t="s">
        <v>4252</v>
      </c>
      <c r="G14" s="117"/>
      <c r="H14" s="118"/>
      <c r="I14" s="117"/>
      <c r="J14" s="118"/>
      <c r="K14" s="117"/>
      <c r="L14" s="119"/>
    </row>
    <row r="15" spans="1:12">
      <c r="A15" s="190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2"/>
    </row>
    <row r="16" spans="1:12">
      <c r="A16" s="116">
        <v>7</v>
      </c>
      <c r="B16" s="196">
        <v>1.35</v>
      </c>
      <c r="C16" s="117" t="s">
        <v>4338</v>
      </c>
      <c r="D16" s="118" t="s">
        <v>4339</v>
      </c>
      <c r="E16" s="117" t="s">
        <v>4340</v>
      </c>
      <c r="F16" s="118" t="s">
        <v>4341</v>
      </c>
      <c r="G16" s="117" t="s">
        <v>4342</v>
      </c>
      <c r="H16" s="118" t="s">
        <v>4343</v>
      </c>
      <c r="I16" s="117" t="s">
        <v>4342</v>
      </c>
      <c r="J16" s="118" t="s">
        <v>4344</v>
      </c>
      <c r="K16" s="117" t="s">
        <v>4330</v>
      </c>
      <c r="L16" s="119" t="s">
        <v>4345</v>
      </c>
    </row>
    <row r="17" spans="1:12">
      <c r="A17" s="116"/>
      <c r="B17" s="196"/>
      <c r="C17" s="117" t="s">
        <v>4330</v>
      </c>
      <c r="D17" s="118" t="s">
        <v>4346</v>
      </c>
      <c r="E17" s="117" t="s">
        <v>4246</v>
      </c>
      <c r="F17" s="118" t="s">
        <v>4257</v>
      </c>
      <c r="G17" s="117" t="s">
        <v>4246</v>
      </c>
      <c r="H17" s="118" t="s">
        <v>4258</v>
      </c>
      <c r="I17" s="117"/>
      <c r="J17" s="118"/>
      <c r="K17" s="117"/>
      <c r="L17" s="119"/>
    </row>
    <row r="18" spans="1:12">
      <c r="A18" s="190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2"/>
    </row>
    <row r="19" spans="1:12">
      <c r="A19" s="193">
        <v>8</v>
      </c>
      <c r="B19" s="197">
        <v>1.3</v>
      </c>
      <c r="C19" s="117" t="s">
        <v>4338</v>
      </c>
      <c r="D19" s="118" t="s">
        <v>4347</v>
      </c>
      <c r="E19" s="117" t="s">
        <v>4348</v>
      </c>
      <c r="F19" s="118" t="s">
        <v>4349</v>
      </c>
      <c r="G19" s="117" t="s">
        <v>4350</v>
      </c>
      <c r="H19" s="118" t="s">
        <v>4351</v>
      </c>
      <c r="I19" s="117" t="s">
        <v>4352</v>
      </c>
      <c r="J19" s="118" t="s">
        <v>4353</v>
      </c>
      <c r="K19" s="117" t="s">
        <v>4469</v>
      </c>
      <c r="L19" s="119" t="s">
        <v>4354</v>
      </c>
    </row>
    <row r="20" spans="1:12">
      <c r="A20" s="193"/>
      <c r="B20" s="197"/>
      <c r="C20" s="117" t="s">
        <v>4342</v>
      </c>
      <c r="D20" s="118" t="s">
        <v>4355</v>
      </c>
      <c r="E20" s="117" t="s">
        <v>4260</v>
      </c>
      <c r="F20" s="118" t="s">
        <v>4261</v>
      </c>
      <c r="G20" s="117" t="s">
        <v>4243</v>
      </c>
      <c r="H20" s="118" t="s">
        <v>4262</v>
      </c>
      <c r="I20" s="117" t="s">
        <v>4243</v>
      </c>
      <c r="J20" s="118" t="s">
        <v>4263</v>
      </c>
      <c r="K20" s="117" t="s">
        <v>4264</v>
      </c>
      <c r="L20" s="119" t="s">
        <v>4265</v>
      </c>
    </row>
    <row r="21" spans="1:12">
      <c r="A21" s="193"/>
      <c r="B21" s="197"/>
      <c r="C21" s="117" t="s">
        <v>4356</v>
      </c>
      <c r="D21" s="118" t="s">
        <v>4357</v>
      </c>
      <c r="E21" s="117" t="s">
        <v>4356</v>
      </c>
      <c r="F21" s="118" t="s">
        <v>4358</v>
      </c>
      <c r="G21" s="117" t="s">
        <v>4356</v>
      </c>
      <c r="H21" s="118" t="s">
        <v>4359</v>
      </c>
      <c r="I21" s="117" t="s">
        <v>4356</v>
      </c>
      <c r="J21" s="118" t="s">
        <v>4360</v>
      </c>
      <c r="K21" s="117" t="s">
        <v>4356</v>
      </c>
      <c r="L21" s="119" t="s">
        <v>4361</v>
      </c>
    </row>
    <row r="22" spans="1:12">
      <c r="A22" s="190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2"/>
    </row>
    <row r="23" spans="1:12">
      <c r="A23" s="187">
        <v>9</v>
      </c>
      <c r="B23" s="198">
        <v>1.25</v>
      </c>
      <c r="C23" s="117" t="s">
        <v>4326</v>
      </c>
      <c r="D23" s="118" t="s">
        <v>4362</v>
      </c>
      <c r="E23" s="117" t="s">
        <v>4348</v>
      </c>
      <c r="F23" s="118" t="s">
        <v>4363</v>
      </c>
      <c r="G23" s="117" t="s">
        <v>4364</v>
      </c>
      <c r="H23" s="118" t="s">
        <v>4365</v>
      </c>
      <c r="I23" s="117" t="s">
        <v>4328</v>
      </c>
      <c r="J23" s="118" t="s">
        <v>4366</v>
      </c>
      <c r="K23" s="117" t="s">
        <v>4350</v>
      </c>
      <c r="L23" s="119" t="s">
        <v>4367</v>
      </c>
    </row>
    <row r="24" spans="1:12">
      <c r="A24" s="188"/>
      <c r="B24" s="199"/>
      <c r="C24" s="117" t="s">
        <v>4352</v>
      </c>
      <c r="D24" s="118" t="s">
        <v>4368</v>
      </c>
      <c r="E24" s="117" t="s">
        <v>4268</v>
      </c>
      <c r="F24" s="118" t="s">
        <v>4269</v>
      </c>
      <c r="G24" s="117" t="s">
        <v>4469</v>
      </c>
      <c r="H24" s="118" t="s">
        <v>4270</v>
      </c>
      <c r="I24" s="117" t="s">
        <v>4256</v>
      </c>
      <c r="J24" s="118" t="s">
        <v>4271</v>
      </c>
      <c r="K24" s="117" t="s">
        <v>4256</v>
      </c>
      <c r="L24" s="119" t="s">
        <v>4272</v>
      </c>
    </row>
    <row r="25" spans="1:12">
      <c r="A25" s="188"/>
      <c r="B25" s="199"/>
      <c r="C25" s="117" t="s">
        <v>4369</v>
      </c>
      <c r="D25" s="118" t="s">
        <v>4370</v>
      </c>
      <c r="E25" s="117" t="s">
        <v>4369</v>
      </c>
      <c r="F25" s="118" t="s">
        <v>4371</v>
      </c>
      <c r="G25" s="117" t="s">
        <v>4372</v>
      </c>
      <c r="H25" s="118" t="s">
        <v>4373</v>
      </c>
      <c r="I25" s="117" t="s">
        <v>4330</v>
      </c>
      <c r="J25" s="118" t="s">
        <v>4374</v>
      </c>
      <c r="K25" s="117" t="s">
        <v>4335</v>
      </c>
      <c r="L25" s="119" t="s">
        <v>4375</v>
      </c>
    </row>
    <row r="26" spans="1:12">
      <c r="A26" s="188"/>
      <c r="B26" s="199"/>
      <c r="C26" s="117" t="s">
        <v>4470</v>
      </c>
      <c r="D26" s="118" t="s">
        <v>4376</v>
      </c>
      <c r="E26" s="117" t="s">
        <v>4470</v>
      </c>
      <c r="F26" s="118" t="s">
        <v>4274</v>
      </c>
      <c r="G26" s="117" t="s">
        <v>4275</v>
      </c>
      <c r="H26" s="118" t="s">
        <v>4276</v>
      </c>
      <c r="I26" s="117" t="s">
        <v>4246</v>
      </c>
      <c r="J26" s="118" t="s">
        <v>4277</v>
      </c>
      <c r="K26" s="117" t="s">
        <v>4246</v>
      </c>
      <c r="L26" s="119" t="s">
        <v>52</v>
      </c>
    </row>
    <row r="27" spans="1:12">
      <c r="A27" s="188"/>
      <c r="B27" s="199"/>
      <c r="C27" s="117" t="s">
        <v>4356</v>
      </c>
      <c r="D27" s="118" t="s">
        <v>4377</v>
      </c>
      <c r="E27" s="117" t="s">
        <v>4356</v>
      </c>
      <c r="F27" s="118" t="s">
        <v>4378</v>
      </c>
      <c r="G27" s="117" t="s">
        <v>4356</v>
      </c>
      <c r="H27" s="118" t="s">
        <v>4379</v>
      </c>
      <c r="I27" s="117" t="s">
        <v>4356</v>
      </c>
      <c r="J27" s="118" t="s">
        <v>4380</v>
      </c>
      <c r="K27" s="117" t="s">
        <v>4356</v>
      </c>
      <c r="L27" s="119" t="s">
        <v>4381</v>
      </c>
    </row>
    <row r="28" spans="1:12">
      <c r="A28" s="188"/>
      <c r="B28" s="199"/>
      <c r="C28" s="117" t="s">
        <v>4356</v>
      </c>
      <c r="D28" s="118" t="s">
        <v>4382</v>
      </c>
      <c r="E28" s="117" t="s">
        <v>4278</v>
      </c>
      <c r="F28" s="118" t="s">
        <v>4279</v>
      </c>
      <c r="G28" s="117" t="s">
        <v>4278</v>
      </c>
      <c r="H28" s="118" t="s">
        <v>48</v>
      </c>
      <c r="I28" s="117" t="s">
        <v>4268</v>
      </c>
      <c r="J28" s="118" t="s">
        <v>4280</v>
      </c>
      <c r="K28" s="117" t="s">
        <v>4469</v>
      </c>
      <c r="L28" s="119" t="s">
        <v>4258</v>
      </c>
    </row>
    <row r="29" spans="1:12">
      <c r="A29" s="188"/>
      <c r="B29" s="199"/>
      <c r="C29" s="117" t="s">
        <v>4369</v>
      </c>
      <c r="D29" s="118" t="s">
        <v>4383</v>
      </c>
      <c r="E29" s="117" t="s">
        <v>4369</v>
      </c>
      <c r="F29" s="118" t="s">
        <v>4384</v>
      </c>
      <c r="G29" s="117" t="s">
        <v>4369</v>
      </c>
      <c r="H29" s="118" t="s">
        <v>4385</v>
      </c>
      <c r="I29" s="117" t="s">
        <v>4330</v>
      </c>
      <c r="J29" s="118" t="s">
        <v>4386</v>
      </c>
      <c r="K29" s="117" t="s">
        <v>4330</v>
      </c>
      <c r="L29" s="119" t="s">
        <v>4387</v>
      </c>
    </row>
    <row r="30" spans="1:12">
      <c r="A30" s="188"/>
      <c r="B30" s="199"/>
      <c r="C30" s="117" t="s">
        <v>4335</v>
      </c>
      <c r="D30" s="118" t="s">
        <v>4388</v>
      </c>
      <c r="E30" s="117" t="s">
        <v>4470</v>
      </c>
      <c r="F30" s="118" t="s">
        <v>4281</v>
      </c>
      <c r="G30" s="117" t="s">
        <v>4246</v>
      </c>
      <c r="H30" s="118" t="s">
        <v>4282</v>
      </c>
      <c r="I30" s="117" t="s">
        <v>4246</v>
      </c>
      <c r="J30" s="118" t="s">
        <v>4283</v>
      </c>
      <c r="K30" s="117" t="s">
        <v>4246</v>
      </c>
      <c r="L30" s="119" t="s">
        <v>54</v>
      </c>
    </row>
    <row r="31" spans="1:12">
      <c r="A31" s="189"/>
      <c r="B31" s="200"/>
      <c r="C31" s="117" t="s">
        <v>4356</v>
      </c>
      <c r="D31" s="118" t="s">
        <v>4389</v>
      </c>
      <c r="E31" s="117" t="s">
        <v>4356</v>
      </c>
      <c r="F31" s="118" t="s">
        <v>4390</v>
      </c>
      <c r="G31" s="117" t="s">
        <v>4356</v>
      </c>
      <c r="H31" s="118" t="s">
        <v>4391</v>
      </c>
      <c r="I31" s="117"/>
      <c r="J31" s="118"/>
      <c r="K31" s="117"/>
      <c r="L31" s="119"/>
    </row>
    <row r="32" spans="1:12">
      <c r="A32" s="190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2"/>
    </row>
    <row r="33" spans="1:12">
      <c r="A33" s="187">
        <v>10</v>
      </c>
      <c r="B33" s="198">
        <v>1.2</v>
      </c>
      <c r="C33" s="117" t="s">
        <v>4285</v>
      </c>
      <c r="D33" s="118" t="s">
        <v>4286</v>
      </c>
      <c r="E33" s="117" t="s">
        <v>4393</v>
      </c>
      <c r="F33" s="118" t="s">
        <v>4394</v>
      </c>
      <c r="G33" s="117" t="s">
        <v>4395</v>
      </c>
      <c r="H33" s="118" t="s">
        <v>4396</v>
      </c>
      <c r="I33" s="117" t="s">
        <v>4397</v>
      </c>
      <c r="J33" s="118" t="s">
        <v>4398</v>
      </c>
      <c r="K33" s="117" t="s">
        <v>4399</v>
      </c>
      <c r="L33" s="119" t="s">
        <v>4400</v>
      </c>
    </row>
    <row r="34" spans="1:12">
      <c r="A34" s="188"/>
      <c r="B34" s="199"/>
      <c r="C34" s="117" t="s">
        <v>4397</v>
      </c>
      <c r="D34" s="118" t="s">
        <v>4401</v>
      </c>
      <c r="E34" s="117" t="s">
        <v>4259</v>
      </c>
      <c r="F34" s="118" t="s">
        <v>4287</v>
      </c>
      <c r="G34" s="117" t="s">
        <v>4304</v>
      </c>
      <c r="H34" s="118" t="s">
        <v>4288</v>
      </c>
      <c r="I34" s="117" t="s">
        <v>4268</v>
      </c>
      <c r="J34" s="118" t="s">
        <v>4289</v>
      </c>
      <c r="K34" s="117" t="s">
        <v>4469</v>
      </c>
      <c r="L34" s="119" t="s">
        <v>4266</v>
      </c>
    </row>
    <row r="35" spans="1:12">
      <c r="A35" s="188"/>
      <c r="B35" s="199"/>
      <c r="C35" s="117" t="s">
        <v>4469</v>
      </c>
      <c r="D35" s="118" t="s">
        <v>4402</v>
      </c>
      <c r="E35" s="117" t="s">
        <v>4403</v>
      </c>
      <c r="F35" s="118" t="s">
        <v>4404</v>
      </c>
      <c r="G35" s="117" t="s">
        <v>4405</v>
      </c>
      <c r="H35" s="118" t="s">
        <v>4406</v>
      </c>
      <c r="I35" s="117" t="s">
        <v>4405</v>
      </c>
      <c r="J35" s="118" t="s">
        <v>4407</v>
      </c>
      <c r="K35" s="117" t="s">
        <v>4408</v>
      </c>
      <c r="L35" s="119" t="s">
        <v>4409</v>
      </c>
    </row>
    <row r="36" spans="1:12">
      <c r="A36" s="188"/>
      <c r="B36" s="199"/>
      <c r="C36" s="117" t="s">
        <v>4408</v>
      </c>
      <c r="D36" s="118" t="s">
        <v>4410</v>
      </c>
      <c r="E36" s="117" t="s">
        <v>4243</v>
      </c>
      <c r="F36" s="118" t="s">
        <v>4291</v>
      </c>
      <c r="G36" s="117" t="s">
        <v>4470</v>
      </c>
      <c r="H36" s="118" t="s">
        <v>4284</v>
      </c>
      <c r="I36" s="117" t="s">
        <v>4470</v>
      </c>
      <c r="J36" s="118" t="s">
        <v>4292</v>
      </c>
      <c r="K36" s="117" t="s">
        <v>4275</v>
      </c>
      <c r="L36" s="119" t="s">
        <v>4293</v>
      </c>
    </row>
    <row r="37" spans="1:12">
      <c r="A37" s="188"/>
      <c r="B37" s="199"/>
      <c r="C37" s="117" t="s">
        <v>4411</v>
      </c>
      <c r="D37" s="118" t="s">
        <v>4412</v>
      </c>
      <c r="E37" s="117" t="s">
        <v>4411</v>
      </c>
      <c r="F37" s="118" t="s">
        <v>4413</v>
      </c>
      <c r="G37" s="117" t="s">
        <v>4411</v>
      </c>
      <c r="H37" s="118" t="s">
        <v>4414</v>
      </c>
      <c r="I37" s="117" t="s">
        <v>4411</v>
      </c>
      <c r="J37" s="118" t="s">
        <v>4415</v>
      </c>
      <c r="K37" s="117" t="s">
        <v>4411</v>
      </c>
      <c r="L37" s="119" t="s">
        <v>4416</v>
      </c>
    </row>
    <row r="38" spans="1:12">
      <c r="A38" s="189"/>
      <c r="B38" s="200"/>
      <c r="C38" s="117" t="s">
        <v>4411</v>
      </c>
      <c r="D38" s="118" t="s">
        <v>4417</v>
      </c>
      <c r="E38" s="117"/>
      <c r="F38" s="118"/>
      <c r="G38" s="117"/>
      <c r="H38" s="118"/>
      <c r="I38" s="117"/>
      <c r="J38" s="118"/>
      <c r="K38" s="117"/>
      <c r="L38" s="119"/>
    </row>
    <row r="39" spans="1:12">
      <c r="A39" s="190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2"/>
    </row>
    <row r="40" spans="1:12">
      <c r="A40" s="187">
        <v>11</v>
      </c>
      <c r="B40" s="198">
        <v>1.1499999999999999</v>
      </c>
      <c r="C40" s="117" t="s">
        <v>4326</v>
      </c>
      <c r="D40" s="118" t="s">
        <v>4418</v>
      </c>
      <c r="E40" s="117" t="s">
        <v>4419</v>
      </c>
      <c r="F40" s="118" t="s">
        <v>4420</v>
      </c>
      <c r="G40" s="117" t="s">
        <v>4364</v>
      </c>
      <c r="H40" s="118" t="s">
        <v>4421</v>
      </c>
      <c r="I40" s="117" t="s">
        <v>4364</v>
      </c>
      <c r="J40" s="118" t="s">
        <v>4422</v>
      </c>
      <c r="K40" s="117" t="s">
        <v>4350</v>
      </c>
      <c r="L40" s="119" t="s">
        <v>4423</v>
      </c>
    </row>
    <row r="41" spans="1:12">
      <c r="A41" s="188"/>
      <c r="B41" s="199"/>
      <c r="C41" s="117" t="s">
        <v>4340</v>
      </c>
      <c r="D41" s="118" t="s">
        <v>4424</v>
      </c>
      <c r="E41" s="117" t="s">
        <v>4255</v>
      </c>
      <c r="F41" s="118" t="s">
        <v>4294</v>
      </c>
      <c r="G41" s="117" t="s">
        <v>4267</v>
      </c>
      <c r="H41" s="118" t="s">
        <v>4295</v>
      </c>
      <c r="I41" s="117" t="s">
        <v>4278</v>
      </c>
      <c r="J41" s="118" t="s">
        <v>4296</v>
      </c>
      <c r="K41" s="117" t="s">
        <v>4297</v>
      </c>
      <c r="L41" s="119" t="s">
        <v>4298</v>
      </c>
    </row>
    <row r="42" spans="1:12">
      <c r="A42" s="188"/>
      <c r="B42" s="199"/>
      <c r="C42" s="117" t="s">
        <v>4469</v>
      </c>
      <c r="D42" s="118" t="s">
        <v>4425</v>
      </c>
      <c r="E42" s="117" t="s">
        <v>4369</v>
      </c>
      <c r="F42" s="118" t="s">
        <v>4426</v>
      </c>
      <c r="G42" s="117" t="s">
        <v>4372</v>
      </c>
      <c r="H42" s="118" t="s">
        <v>4427</v>
      </c>
      <c r="I42" s="117" t="s">
        <v>4428</v>
      </c>
      <c r="J42" s="118" t="s">
        <v>4429</v>
      </c>
      <c r="K42" s="117" t="s">
        <v>4428</v>
      </c>
      <c r="L42" s="119" t="s">
        <v>4430</v>
      </c>
    </row>
    <row r="43" spans="1:12">
      <c r="A43" s="188"/>
      <c r="B43" s="199"/>
      <c r="C43" s="117" t="s">
        <v>4330</v>
      </c>
      <c r="D43" s="118" t="s">
        <v>4431</v>
      </c>
      <c r="E43" s="117" t="s">
        <v>4246</v>
      </c>
      <c r="F43" s="118" t="s">
        <v>4301</v>
      </c>
      <c r="G43" s="117" t="s">
        <v>4246</v>
      </c>
      <c r="H43" s="118" t="s">
        <v>4302</v>
      </c>
      <c r="I43" s="117" t="s">
        <v>4246</v>
      </c>
      <c r="J43" s="118" t="s">
        <v>4303</v>
      </c>
      <c r="K43" s="117" t="s">
        <v>4246</v>
      </c>
      <c r="L43" s="119" t="s">
        <v>50</v>
      </c>
    </row>
    <row r="44" spans="1:12">
      <c r="A44" s="189"/>
      <c r="B44" s="200"/>
      <c r="C44" s="117" t="s">
        <v>4356</v>
      </c>
      <c r="D44" s="118" t="s">
        <v>4432</v>
      </c>
      <c r="E44" s="117" t="s">
        <v>4356</v>
      </c>
      <c r="F44" s="118" t="s">
        <v>4433</v>
      </c>
      <c r="G44" s="117" t="s">
        <v>4356</v>
      </c>
      <c r="H44" s="118" t="s">
        <v>4434</v>
      </c>
      <c r="I44" s="117"/>
      <c r="J44" s="118"/>
      <c r="K44" s="117"/>
      <c r="L44" s="119"/>
    </row>
    <row r="45" spans="1:12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2"/>
    </row>
    <row r="46" spans="1:12">
      <c r="A46" s="116">
        <v>12</v>
      </c>
      <c r="B46" s="196">
        <v>1.1000000000000001</v>
      </c>
      <c r="C46" s="117" t="s">
        <v>4419</v>
      </c>
      <c r="D46" s="118" t="s">
        <v>4435</v>
      </c>
      <c r="E46" s="117" t="s">
        <v>4436</v>
      </c>
      <c r="F46" s="118" t="s">
        <v>4437</v>
      </c>
      <c r="G46" s="117" t="s">
        <v>4328</v>
      </c>
      <c r="H46" s="118" t="s">
        <v>4438</v>
      </c>
      <c r="I46" s="117" t="s">
        <v>4328</v>
      </c>
      <c r="J46" s="118" t="s">
        <v>4439</v>
      </c>
      <c r="K46" s="117" t="s">
        <v>4328</v>
      </c>
      <c r="L46" s="119" t="s">
        <v>4440</v>
      </c>
    </row>
    <row r="47" spans="1:12">
      <c r="A47" s="190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2"/>
    </row>
    <row r="48" spans="1:12">
      <c r="A48" s="187">
        <v>13</v>
      </c>
      <c r="B48" s="198">
        <v>1.05</v>
      </c>
      <c r="C48" s="117" t="s">
        <v>4441</v>
      </c>
      <c r="D48" s="118" t="s">
        <v>4442</v>
      </c>
      <c r="E48" s="117" t="s">
        <v>4392</v>
      </c>
      <c r="F48" s="118" t="s">
        <v>4443</v>
      </c>
      <c r="G48" s="117" t="s">
        <v>4397</v>
      </c>
      <c r="H48" s="118" t="s">
        <v>4444</v>
      </c>
      <c r="I48" s="117" t="s">
        <v>4445</v>
      </c>
      <c r="J48" s="118" t="s">
        <v>4446</v>
      </c>
      <c r="K48" s="117" t="s">
        <v>4469</v>
      </c>
      <c r="L48" s="119" t="s">
        <v>4447</v>
      </c>
    </row>
    <row r="49" spans="1:13">
      <c r="A49" s="188"/>
      <c r="B49" s="199"/>
      <c r="C49" s="117" t="s">
        <v>4448</v>
      </c>
      <c r="D49" s="118" t="s">
        <v>4449</v>
      </c>
      <c r="E49" s="117" t="s">
        <v>4273</v>
      </c>
      <c r="F49" s="118" t="s">
        <v>4305</v>
      </c>
      <c r="G49" s="117" t="s">
        <v>4290</v>
      </c>
      <c r="H49" s="118" t="s">
        <v>4306</v>
      </c>
      <c r="I49" s="117" t="s">
        <v>4246</v>
      </c>
      <c r="J49" s="118" t="s">
        <v>4300</v>
      </c>
      <c r="K49" s="117" t="s">
        <v>4246</v>
      </c>
      <c r="L49" s="119" t="s">
        <v>4299</v>
      </c>
    </row>
    <row r="50" spans="1:13">
      <c r="A50" s="189"/>
      <c r="B50" s="200"/>
      <c r="C50" s="117" t="s">
        <v>4411</v>
      </c>
      <c r="D50" s="118" t="s">
        <v>4450</v>
      </c>
      <c r="E50" s="117" t="s">
        <v>4411</v>
      </c>
      <c r="F50" s="118" t="s">
        <v>4451</v>
      </c>
      <c r="G50" s="117"/>
      <c r="H50" s="118"/>
      <c r="I50" s="117"/>
      <c r="J50" s="118"/>
      <c r="K50" s="117"/>
      <c r="L50" s="119"/>
    </row>
    <row r="51" spans="1:13">
      <c r="A51" s="190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2"/>
    </row>
    <row r="52" spans="1:13">
      <c r="A52" s="187">
        <v>14</v>
      </c>
      <c r="B52" s="198">
        <v>1</v>
      </c>
      <c r="C52" s="117" t="s">
        <v>4436</v>
      </c>
      <c r="D52" s="118" t="s">
        <v>4452</v>
      </c>
      <c r="E52" s="117" t="s">
        <v>4453</v>
      </c>
      <c r="F52" s="118" t="s">
        <v>4454</v>
      </c>
      <c r="G52" s="117" t="s">
        <v>4455</v>
      </c>
      <c r="H52" s="118" t="s">
        <v>4456</v>
      </c>
      <c r="I52" s="117" t="s">
        <v>4455</v>
      </c>
      <c r="J52" s="118" t="s">
        <v>4457</v>
      </c>
      <c r="K52" s="117" t="s">
        <v>4369</v>
      </c>
      <c r="L52" s="119" t="s">
        <v>4458</v>
      </c>
    </row>
    <row r="53" spans="1:13">
      <c r="A53" s="188"/>
      <c r="B53" s="199"/>
      <c r="C53" s="117" t="s">
        <v>4372</v>
      </c>
      <c r="D53" s="118" t="s">
        <v>4432</v>
      </c>
      <c r="E53" s="117" t="s">
        <v>4273</v>
      </c>
      <c r="F53" s="118" t="s">
        <v>4307</v>
      </c>
      <c r="G53" s="117" t="s">
        <v>4246</v>
      </c>
      <c r="H53" s="118" t="s">
        <v>55</v>
      </c>
      <c r="I53" s="117" t="s">
        <v>4246</v>
      </c>
      <c r="J53" s="118" t="s">
        <v>4308</v>
      </c>
      <c r="K53" s="117" t="s">
        <v>4246</v>
      </c>
      <c r="L53" s="119" t="s">
        <v>4309</v>
      </c>
    </row>
    <row r="54" spans="1:13">
      <c r="A54" s="189"/>
      <c r="B54" s="200"/>
      <c r="C54" s="117" t="s">
        <v>4369</v>
      </c>
      <c r="D54" s="118" t="s">
        <v>4471</v>
      </c>
      <c r="E54" s="117" t="s">
        <v>4459</v>
      </c>
      <c r="F54" s="118" t="s">
        <v>4460</v>
      </c>
      <c r="G54" s="117"/>
      <c r="H54" s="118"/>
      <c r="I54" s="117"/>
      <c r="J54" s="118"/>
      <c r="K54" s="117"/>
      <c r="L54" s="119"/>
      <c r="M54" s="203" t="s">
        <v>4474</v>
      </c>
    </row>
    <row r="55" spans="1:13">
      <c r="A55" s="190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2"/>
    </row>
    <row r="56" spans="1:13">
      <c r="A56" s="116">
        <v>15</v>
      </c>
      <c r="B56" s="196">
        <v>0.95</v>
      </c>
      <c r="C56" s="117" t="s">
        <v>4372</v>
      </c>
      <c r="D56" s="118" t="s">
        <v>4461</v>
      </c>
      <c r="E56" s="117" t="s">
        <v>4372</v>
      </c>
      <c r="F56" s="118" t="s">
        <v>4462</v>
      </c>
      <c r="G56" s="117"/>
      <c r="H56" s="118"/>
      <c r="I56" s="117"/>
      <c r="J56" s="118"/>
      <c r="K56" s="117"/>
      <c r="L56" s="119"/>
    </row>
    <row r="57" spans="1:13">
      <c r="A57" s="190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2"/>
    </row>
    <row r="58" spans="1:13">
      <c r="A58" s="116">
        <v>16</v>
      </c>
      <c r="B58" s="196">
        <v>0.9</v>
      </c>
      <c r="C58" s="117" t="s">
        <v>4273</v>
      </c>
      <c r="D58" s="118" t="s">
        <v>4310</v>
      </c>
      <c r="E58" s="117" t="s">
        <v>4275</v>
      </c>
      <c r="F58" s="118" t="s">
        <v>4311</v>
      </c>
      <c r="G58" s="117"/>
      <c r="H58" s="118"/>
      <c r="I58" s="117"/>
      <c r="J58" s="118"/>
      <c r="K58" s="117"/>
      <c r="L58" s="119"/>
    </row>
    <row r="59" spans="1:13">
      <c r="A59" s="190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2"/>
    </row>
    <row r="60" spans="1:13">
      <c r="A60" s="116">
        <v>17</v>
      </c>
      <c r="B60" s="196">
        <v>0.85</v>
      </c>
      <c r="C60" s="117" t="s">
        <v>4335</v>
      </c>
      <c r="D60" s="118" t="s">
        <v>4463</v>
      </c>
      <c r="E60" s="117" t="s">
        <v>4356</v>
      </c>
      <c r="F60" s="118" t="s">
        <v>4464</v>
      </c>
      <c r="G60" s="117"/>
      <c r="H60" s="118"/>
      <c r="I60" s="117"/>
      <c r="J60" s="118"/>
      <c r="K60" s="117"/>
      <c r="L60" s="119"/>
    </row>
    <row r="61" spans="1:13">
      <c r="A61" s="190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2"/>
    </row>
    <row r="62" spans="1:13">
      <c r="A62" s="116">
        <v>18</v>
      </c>
      <c r="B62" s="196">
        <v>0.8</v>
      </c>
      <c r="C62" s="117" t="s">
        <v>4465</v>
      </c>
      <c r="D62" s="118" t="s">
        <v>4466</v>
      </c>
      <c r="E62" s="117" t="s">
        <v>4356</v>
      </c>
      <c r="F62" s="118" t="s">
        <v>4467</v>
      </c>
      <c r="G62" s="117"/>
      <c r="H62" s="118"/>
      <c r="I62" s="117"/>
      <c r="J62" s="118"/>
      <c r="K62" s="117"/>
      <c r="L62" s="119"/>
    </row>
    <row r="63" spans="1:13">
      <c r="A63" s="190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2"/>
    </row>
    <row r="64" spans="1:13">
      <c r="A64" s="116">
        <v>19</v>
      </c>
      <c r="B64" s="196">
        <v>0.75</v>
      </c>
      <c r="C64" s="117" t="s">
        <v>4304</v>
      </c>
      <c r="D64" s="118" t="s">
        <v>4312</v>
      </c>
      <c r="E64" s="117"/>
      <c r="F64" s="118"/>
      <c r="G64" s="117"/>
      <c r="H64" s="118"/>
      <c r="I64" s="117"/>
      <c r="J64" s="118"/>
      <c r="K64" s="117"/>
      <c r="L64" s="119"/>
    </row>
    <row r="65" spans="1:13">
      <c r="A65" s="190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2"/>
    </row>
    <row r="66" spans="1:13">
      <c r="A66" s="187">
        <v>20</v>
      </c>
      <c r="B66" s="198">
        <v>0.7</v>
      </c>
      <c r="C66" s="117" t="s">
        <v>4304</v>
      </c>
      <c r="D66" s="118" t="s">
        <v>4313</v>
      </c>
      <c r="E66" s="117" t="s">
        <v>4244</v>
      </c>
      <c r="F66" s="118" t="s">
        <v>4314</v>
      </c>
      <c r="G66" s="117" t="s">
        <v>4470</v>
      </c>
      <c r="H66" s="118" t="s">
        <v>4315</v>
      </c>
      <c r="I66" s="117" t="s">
        <v>4275</v>
      </c>
      <c r="J66" s="118" t="s">
        <v>4316</v>
      </c>
      <c r="K66" s="117" t="s">
        <v>4246</v>
      </c>
      <c r="L66" s="119" t="s">
        <v>4317</v>
      </c>
    </row>
    <row r="67" spans="1:13">
      <c r="A67" s="189"/>
      <c r="B67" s="200"/>
      <c r="C67" s="117" t="s">
        <v>4369</v>
      </c>
      <c r="D67" s="118" t="s">
        <v>4472</v>
      </c>
      <c r="E67" s="117"/>
      <c r="F67" s="118"/>
      <c r="G67" s="117"/>
      <c r="H67" s="118"/>
      <c r="I67" s="117"/>
      <c r="J67" s="118"/>
      <c r="K67" s="117"/>
      <c r="L67" s="119"/>
      <c r="M67" s="203" t="s">
        <v>4473</v>
      </c>
    </row>
    <row r="68" spans="1:13">
      <c r="A68" s="190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2"/>
    </row>
    <row r="69" spans="1:13" ht="15" thickBot="1">
      <c r="A69" s="120">
        <v>21</v>
      </c>
      <c r="B69" s="201">
        <v>0.5</v>
      </c>
      <c r="C69" s="121" t="s">
        <v>4275</v>
      </c>
      <c r="D69" s="122" t="s">
        <v>4318</v>
      </c>
      <c r="E69" s="121" t="s">
        <v>4246</v>
      </c>
      <c r="F69" s="122" t="s">
        <v>4319</v>
      </c>
      <c r="G69" s="121"/>
      <c r="H69" s="122"/>
      <c r="I69" s="121"/>
      <c r="J69" s="122"/>
      <c r="K69" s="121"/>
      <c r="L69" s="123"/>
    </row>
  </sheetData>
  <mergeCells count="35">
    <mergeCell ref="A66:A67"/>
    <mergeCell ref="B66:B67"/>
    <mergeCell ref="A1:L1"/>
    <mergeCell ref="A15:L15"/>
    <mergeCell ref="A4:L4"/>
    <mergeCell ref="A6:L6"/>
    <mergeCell ref="A8:L8"/>
    <mergeCell ref="A10:L10"/>
    <mergeCell ref="A12:L12"/>
    <mergeCell ref="A18:L18"/>
    <mergeCell ref="A22:L22"/>
    <mergeCell ref="A32:L32"/>
    <mergeCell ref="A39:L39"/>
    <mergeCell ref="A45:L45"/>
    <mergeCell ref="A68:L68"/>
    <mergeCell ref="A19:A21"/>
    <mergeCell ref="B19:B21"/>
    <mergeCell ref="A23:A31"/>
    <mergeCell ref="B23:B31"/>
    <mergeCell ref="A33:A38"/>
    <mergeCell ref="B33:B38"/>
    <mergeCell ref="A40:A44"/>
    <mergeCell ref="B40:B44"/>
    <mergeCell ref="A51:L51"/>
    <mergeCell ref="A55:L55"/>
    <mergeCell ref="A57:L57"/>
    <mergeCell ref="A59:L59"/>
    <mergeCell ref="A61:L61"/>
    <mergeCell ref="A63:L63"/>
    <mergeCell ref="A47:L47"/>
    <mergeCell ref="A48:A50"/>
    <mergeCell ref="B48:B50"/>
    <mergeCell ref="A52:A54"/>
    <mergeCell ref="B52:B54"/>
    <mergeCell ref="A65:L65"/>
  </mergeCells>
  <phoneticPr fontId="2" type="noConversion"/>
  <conditionalFormatting sqref="C66:L66">
    <cfRule type="expression" dxfId="75" priority="208" stopIfTrue="1">
      <formula>OR(C66="格斗家",B66="格斗家",C66="武斗家",B66="武斗家")</formula>
    </cfRule>
    <cfRule type="expression" dxfId="74" priority="209" stopIfTrue="1">
      <formula>OR(C66="旅人",B66="旅人")</formula>
    </cfRule>
    <cfRule type="expression" dxfId="73" priority="210" stopIfTrue="1">
      <formula>OR(C66="商人",B66="商人",C66="大老板",B66="大老板")</formula>
    </cfRule>
    <cfRule type="expression" dxfId="72" priority="211" stopIfTrue="1">
      <formula>OR(C66="幻兽师",B66="幻兽师",C66="魔兽使",B66="魔兽使")</formula>
    </cfRule>
    <cfRule type="expression" dxfId="71" priority="212" stopIfTrue="1">
      <formula>OR(C66="暗之使徒",B66="暗之使徒",C66="暗术师",B66="暗术师")</formula>
    </cfRule>
    <cfRule type="expression" dxfId="70" priority="213" stopIfTrue="1">
      <formula>OR(C66="光之使徒",B66="光之使徒",C66="光术师",B66="光术师")</formula>
    </cfRule>
    <cfRule type="expression" dxfId="69" priority="214" stopIfTrue="1">
      <formula>OR(C66="法师/僧侣",B66="法师/僧侣")</formula>
    </cfRule>
    <cfRule type="expression" dxfId="68" priority="215" stopIfTrue="1">
      <formula>OR(C66="法师",B66="法师",C66="巫师",B66="巫师")</formula>
    </cfRule>
    <cfRule type="expression" dxfId="67" priority="216" stopIfTrue="1">
      <formula>OR(C66="僧侣",B66="僧侣",C66="祭司",B66="祭司")</formula>
    </cfRule>
    <cfRule type="expression" dxfId="66" priority="217" stopIfTrue="1">
      <formula>OR(C66="幻兽",B66="幻兽")</formula>
    </cfRule>
    <cfRule type="expression" dxfId="65" priority="218" stopIfTrue="1">
      <formula>OR(C66="狂战士",B66="狂战士",C66="斧战",B66="斧战")</formula>
    </cfRule>
    <cfRule type="expression" dxfId="64" priority="219" stopIfTrue="1">
      <formula>OR(C66="刀狂",B66="刀狂",C66="刀战",B66="刀战")</formula>
    </cfRule>
    <cfRule type="expression" dxfId="63" priority="220" stopIfTrue="1">
      <formula>OR(C66="大剑师",B66="大剑师",C66="剑战",B66="剑战")</formula>
    </cfRule>
    <cfRule type="expression" dxfId="62" priority="221" stopIfTrue="1">
      <formula>OR(C66="战士",B66="战士")</formula>
    </cfRule>
  </conditionalFormatting>
  <conditionalFormatting sqref="C3:L69">
    <cfRule type="expression" dxfId="61" priority="8" stopIfTrue="1">
      <formula>OR(C3="刀狂",B3="刀狂")</formula>
    </cfRule>
    <cfRule type="expression" dxfId="60" priority="7" stopIfTrue="1">
      <formula>OR(C3="大剑师",B3="大剑师")</formula>
    </cfRule>
    <cfRule type="expression" dxfId="59" priority="223" stopIfTrue="1">
      <formula>OR(C3="武斗家",B3="武斗家")</formula>
    </cfRule>
    <cfRule type="expression" dxfId="58" priority="225" stopIfTrue="1">
      <formula>OR(C3="幻兽师",B3="幻兽师")</formula>
    </cfRule>
    <cfRule type="expression" dxfId="57" priority="11" stopIfTrue="1">
      <formula>OR(C3="旅人",B3="旅人")</formula>
    </cfRule>
    <cfRule type="expression" dxfId="56" priority="227" stopIfTrue="1">
      <formula>OR(C3="商人",B3="商人")</formula>
    </cfRule>
    <cfRule type="expression" dxfId="55" priority="229" stopIfTrue="1">
      <formula>OR(C3="暗之使徒",B3="暗之使徒")</formula>
    </cfRule>
    <cfRule type="expression" dxfId="54" priority="231" stopIfTrue="1">
      <formula>OR(C3="光之使徒",B3="光之使徒")</formula>
    </cfRule>
    <cfRule type="expression" dxfId="38" priority="1" stopIfTrue="1">
      <formula>OR(C3="法师/僧侣",B3="法师/僧侣")</formula>
    </cfRule>
    <cfRule type="expression" dxfId="53" priority="239" stopIfTrue="1">
      <formula>OR(C3="法师",B3="法师")</formula>
    </cfRule>
    <cfRule type="expression" dxfId="52" priority="241" stopIfTrue="1">
      <formula>OR(C3="僧侣",B3="僧侣")</formula>
    </cfRule>
    <cfRule type="expression" dxfId="51" priority="2" stopIfTrue="1">
      <formula>OR(C3="幻兽",B3="幻兽")</formula>
    </cfRule>
    <cfRule type="expression" dxfId="50" priority="3" stopIfTrue="1">
      <formula>OR(C3="斧战",B3="斧战")</formula>
    </cfRule>
    <cfRule type="expression" dxfId="49" priority="4" stopIfTrue="1">
      <formula>OR(C3="刀战",B3="刀战")</formula>
    </cfRule>
    <cfRule type="expression" dxfId="48" priority="6" stopIfTrue="1">
      <formula>OR(C3="战士",B3="战士")</formula>
    </cfRule>
    <cfRule type="expression" dxfId="47" priority="5" stopIfTrue="1">
      <formula>OR(C3="剑战",B3="剑战")</formula>
    </cfRule>
    <cfRule type="expression" dxfId="46" priority="9" stopIfTrue="1">
      <formula>OR(C3="狂战士",B3="狂战士")</formula>
    </cfRule>
    <cfRule type="expression" dxfId="45" priority="222" stopIfTrue="1">
      <formula>OR(C3="格斗家",B3="格斗家")</formula>
    </cfRule>
    <cfRule type="expression" dxfId="44" priority="224" stopIfTrue="1">
      <formula>OR(C3="魔兽使",B3="魔兽使")</formula>
    </cfRule>
    <cfRule type="expression" dxfId="43" priority="226" stopIfTrue="1">
      <formula>OR(C3="大老板",B3="大老板")</formula>
    </cfRule>
    <cfRule type="expression" dxfId="42" priority="228" stopIfTrue="1">
      <formula>OR(C3="暗术师",B3="暗术师")</formula>
    </cfRule>
    <cfRule type="expression" dxfId="41" priority="230" stopIfTrue="1">
      <formula>OR(C3="光术师",B3="光术师")</formula>
    </cfRule>
    <cfRule type="expression" dxfId="40" priority="232" stopIfTrue="1">
      <formula>OR(C3="巫师",B3="巫师")</formula>
    </cfRule>
    <cfRule type="expression" dxfId="39" priority="240" stopIfTrue="1">
      <formula>OR(C3="祭司",B3="祭司")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OB技能</vt:lpstr>
      <vt:lpstr>降级公式</vt:lpstr>
      <vt:lpstr>幻兽技能</vt:lpstr>
      <vt:lpstr>技能统计</vt:lpstr>
      <vt:lpstr>幻兽玩具</vt:lpstr>
      <vt:lpstr>玩具统计</vt:lpstr>
      <vt:lpstr>特殊物品</vt:lpstr>
      <vt:lpstr>原石</vt:lpstr>
      <vt:lpstr>资料片</vt:lpstr>
      <vt:lpstr>基本技能</vt:lpstr>
      <vt:lpstr>进阶技能</vt:lpstr>
      <vt:lpstr>武器</vt:lpstr>
      <vt:lpstr>防具</vt:lpstr>
      <vt:lpstr>相关地点</vt:lpstr>
      <vt:lpstr>特殊属性</vt:lpstr>
      <vt:lpstr>武器加工</vt:lpstr>
      <vt:lpstr>武器精炼</vt:lpstr>
      <vt:lpstr>推车</vt:lpstr>
      <vt:lpstr>家族</vt:lpstr>
      <vt:lpstr>成长偏向</vt:lpstr>
      <vt:lpstr>幻兽序号</vt:lpstr>
      <vt:lpstr>游乐场</vt:lpstr>
      <vt:lpstr>出手顺序</vt:lpstr>
    </vt:vector>
  </TitlesOfParts>
  <Company>シズカ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童话</dc:title>
  <dc:creator>シズカ</dc:creator>
  <cp:lastModifiedBy>裘顺奕</cp:lastModifiedBy>
  <cp:lastPrinted>2006-05-13T06:01:46Z</cp:lastPrinted>
  <dcterms:created xsi:type="dcterms:W3CDTF">2005-08-14T05:20:54Z</dcterms:created>
  <dcterms:modified xsi:type="dcterms:W3CDTF">2019-07-09T08:41:33Z</dcterms:modified>
  <cp:category>童话</cp:category>
</cp:coreProperties>
</file>